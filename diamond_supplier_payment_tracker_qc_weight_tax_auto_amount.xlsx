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439BBEB8-B00B-D144-88CA-04E14BB5D92D}" xr6:coauthVersionLast="47" xr6:coauthVersionMax="47" xr10:uidLastSave="{00000000-0000-0000-0000-000000000000}"/>
  <bookViews>
    <workbookView xWindow="0" yWindow="600" windowWidth="28800" windowHeight="16340" activeTab="1" xr2:uid="{AD47C6E7-A01A-384E-A2A1-2FC3F7725CA2}"/>
  </bookViews>
  <sheets>
    <sheet name="Purchase Tracker" sheetId="1" r:id="rId1"/>
    <sheet name="Partial Payment Log" sheetId="2" r:id="rId2"/>
    <sheet name="Dashboard" sheetId="3" r:id="rId3"/>
    <sheet name="Supplier Master" sheetId="4" r:id="rId4"/>
    <sheet name="Lis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P54" i="1"/>
  <c r="O54" i="1"/>
  <c r="M54" i="1"/>
  <c r="N54" i="1" s="1"/>
  <c r="F54" i="1"/>
  <c r="H54" i="1"/>
  <c r="I54" i="1" l="1"/>
  <c r="J54" i="1" s="1"/>
  <c r="K54" i="1" s="1"/>
  <c r="Q54" i="1" s="1"/>
  <c r="R54" i="1" s="1"/>
  <c r="O50" i="1"/>
  <c r="O55" i="1"/>
  <c r="M39" i="1"/>
  <c r="F30" i="1" l="1"/>
  <c r="F18" i="1"/>
  <c r="E21" i="3"/>
  <c r="D21" i="3"/>
  <c r="C21" i="3"/>
  <c r="B21" i="3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R300" i="1"/>
  <c r="Q300" i="1"/>
  <c r="P300" i="1"/>
  <c r="O300" i="1"/>
  <c r="M300" i="1"/>
  <c r="N300" i="1" s="1"/>
  <c r="H300" i="1"/>
  <c r="F300" i="1"/>
  <c r="R299" i="1"/>
  <c r="Q299" i="1"/>
  <c r="P299" i="1"/>
  <c r="O299" i="1"/>
  <c r="M299" i="1"/>
  <c r="N299" i="1" s="1"/>
  <c r="H299" i="1"/>
  <c r="F299" i="1"/>
  <c r="I299" i="1" s="1"/>
  <c r="R298" i="1"/>
  <c r="Q298" i="1"/>
  <c r="P298" i="1"/>
  <c r="O298" i="1"/>
  <c r="M298" i="1"/>
  <c r="N298" i="1" s="1"/>
  <c r="H298" i="1"/>
  <c r="F298" i="1"/>
  <c r="R297" i="1"/>
  <c r="Q297" i="1"/>
  <c r="P297" i="1"/>
  <c r="O297" i="1"/>
  <c r="M297" i="1"/>
  <c r="N297" i="1" s="1"/>
  <c r="H297" i="1"/>
  <c r="F297" i="1"/>
  <c r="R296" i="1"/>
  <c r="Q296" i="1"/>
  <c r="P296" i="1"/>
  <c r="O296" i="1"/>
  <c r="M296" i="1"/>
  <c r="N296" i="1" s="1"/>
  <c r="H296" i="1"/>
  <c r="F296" i="1"/>
  <c r="K296" i="1" s="1"/>
  <c r="R295" i="1"/>
  <c r="Q295" i="1"/>
  <c r="P295" i="1"/>
  <c r="O295" i="1"/>
  <c r="M295" i="1"/>
  <c r="N295" i="1" s="1"/>
  <c r="H295" i="1"/>
  <c r="F295" i="1"/>
  <c r="I295" i="1" s="1"/>
  <c r="R294" i="1"/>
  <c r="Q294" i="1"/>
  <c r="P294" i="1"/>
  <c r="O294" i="1"/>
  <c r="M294" i="1"/>
  <c r="N294" i="1" s="1"/>
  <c r="H294" i="1"/>
  <c r="F294" i="1"/>
  <c r="I294" i="1" s="1"/>
  <c r="R293" i="1"/>
  <c r="Q293" i="1"/>
  <c r="P293" i="1"/>
  <c r="O293" i="1"/>
  <c r="M293" i="1"/>
  <c r="N293" i="1" s="1"/>
  <c r="H293" i="1"/>
  <c r="F293" i="1"/>
  <c r="R292" i="1"/>
  <c r="Q292" i="1"/>
  <c r="P292" i="1"/>
  <c r="O292" i="1"/>
  <c r="M292" i="1"/>
  <c r="N292" i="1" s="1"/>
  <c r="H292" i="1"/>
  <c r="F292" i="1"/>
  <c r="R291" i="1"/>
  <c r="Q291" i="1"/>
  <c r="P291" i="1"/>
  <c r="O291" i="1"/>
  <c r="M291" i="1"/>
  <c r="N291" i="1" s="1"/>
  <c r="H291" i="1"/>
  <c r="F291" i="1"/>
  <c r="R290" i="1"/>
  <c r="Q290" i="1"/>
  <c r="P290" i="1"/>
  <c r="O290" i="1"/>
  <c r="M290" i="1"/>
  <c r="N290" i="1" s="1"/>
  <c r="H290" i="1"/>
  <c r="F290" i="1"/>
  <c r="I290" i="1" s="1"/>
  <c r="R289" i="1"/>
  <c r="Q289" i="1"/>
  <c r="P289" i="1"/>
  <c r="O289" i="1"/>
  <c r="M289" i="1"/>
  <c r="N289" i="1" s="1"/>
  <c r="H289" i="1"/>
  <c r="F289" i="1"/>
  <c r="R288" i="1"/>
  <c r="Q288" i="1"/>
  <c r="P288" i="1"/>
  <c r="O288" i="1"/>
  <c r="M288" i="1"/>
  <c r="N288" i="1" s="1"/>
  <c r="H288" i="1"/>
  <c r="F288" i="1"/>
  <c r="J288" i="1" s="1"/>
  <c r="R287" i="1"/>
  <c r="Q287" i="1"/>
  <c r="P287" i="1"/>
  <c r="O287" i="1"/>
  <c r="M287" i="1"/>
  <c r="N287" i="1" s="1"/>
  <c r="H287" i="1"/>
  <c r="F287" i="1"/>
  <c r="I287" i="1" s="1"/>
  <c r="R286" i="1"/>
  <c r="Q286" i="1"/>
  <c r="P286" i="1"/>
  <c r="O286" i="1"/>
  <c r="M286" i="1"/>
  <c r="N286" i="1" s="1"/>
  <c r="H286" i="1"/>
  <c r="F286" i="1"/>
  <c r="R285" i="1"/>
  <c r="Q285" i="1"/>
  <c r="P285" i="1"/>
  <c r="O285" i="1"/>
  <c r="M285" i="1"/>
  <c r="N285" i="1" s="1"/>
  <c r="H285" i="1"/>
  <c r="F285" i="1"/>
  <c r="K285" i="1" s="1"/>
  <c r="R284" i="1"/>
  <c r="Q284" i="1"/>
  <c r="P284" i="1"/>
  <c r="O284" i="1"/>
  <c r="M284" i="1"/>
  <c r="N284" i="1" s="1"/>
  <c r="H284" i="1"/>
  <c r="F284" i="1"/>
  <c r="R283" i="1"/>
  <c r="Q283" i="1"/>
  <c r="P283" i="1"/>
  <c r="O283" i="1"/>
  <c r="M283" i="1"/>
  <c r="N283" i="1" s="1"/>
  <c r="H283" i="1"/>
  <c r="F283" i="1"/>
  <c r="J283" i="1" s="1"/>
  <c r="R282" i="1"/>
  <c r="Q282" i="1"/>
  <c r="P282" i="1"/>
  <c r="O282" i="1"/>
  <c r="M282" i="1"/>
  <c r="N282" i="1" s="1"/>
  <c r="H282" i="1"/>
  <c r="F282" i="1"/>
  <c r="I282" i="1" s="1"/>
  <c r="R281" i="1"/>
  <c r="Q281" i="1"/>
  <c r="P281" i="1"/>
  <c r="O281" i="1"/>
  <c r="M281" i="1"/>
  <c r="N281" i="1" s="1"/>
  <c r="H281" i="1"/>
  <c r="F281" i="1"/>
  <c r="R280" i="1"/>
  <c r="Q280" i="1"/>
  <c r="P280" i="1"/>
  <c r="O280" i="1"/>
  <c r="M280" i="1"/>
  <c r="N280" i="1" s="1"/>
  <c r="H280" i="1"/>
  <c r="F280" i="1"/>
  <c r="J280" i="1" s="1"/>
  <c r="R279" i="1"/>
  <c r="Q279" i="1"/>
  <c r="P279" i="1"/>
  <c r="O279" i="1"/>
  <c r="M279" i="1"/>
  <c r="N279" i="1" s="1"/>
  <c r="H279" i="1"/>
  <c r="F279" i="1"/>
  <c r="I279" i="1" s="1"/>
  <c r="R278" i="1"/>
  <c r="Q278" i="1"/>
  <c r="P278" i="1"/>
  <c r="O278" i="1"/>
  <c r="M278" i="1"/>
  <c r="N278" i="1" s="1"/>
  <c r="H278" i="1"/>
  <c r="F278" i="1"/>
  <c r="I278" i="1" s="1"/>
  <c r="R277" i="1"/>
  <c r="Q277" i="1"/>
  <c r="P277" i="1"/>
  <c r="O277" i="1"/>
  <c r="M277" i="1"/>
  <c r="N277" i="1" s="1"/>
  <c r="H277" i="1"/>
  <c r="F277" i="1"/>
  <c r="I277" i="1" s="1"/>
  <c r="R276" i="1"/>
  <c r="Q276" i="1"/>
  <c r="P276" i="1"/>
  <c r="O276" i="1"/>
  <c r="M276" i="1"/>
  <c r="N276" i="1" s="1"/>
  <c r="H276" i="1"/>
  <c r="F276" i="1"/>
  <c r="R275" i="1"/>
  <c r="Q275" i="1"/>
  <c r="P275" i="1"/>
  <c r="O275" i="1"/>
  <c r="M275" i="1"/>
  <c r="N275" i="1" s="1"/>
  <c r="H275" i="1"/>
  <c r="F275" i="1"/>
  <c r="J275" i="1" s="1"/>
  <c r="R274" i="1"/>
  <c r="Q274" i="1"/>
  <c r="P274" i="1"/>
  <c r="O274" i="1"/>
  <c r="M274" i="1"/>
  <c r="N274" i="1" s="1"/>
  <c r="H274" i="1"/>
  <c r="F274" i="1"/>
  <c r="I274" i="1" s="1"/>
  <c r="R273" i="1"/>
  <c r="Q273" i="1"/>
  <c r="P273" i="1"/>
  <c r="O273" i="1"/>
  <c r="M273" i="1"/>
  <c r="N273" i="1" s="1"/>
  <c r="H273" i="1"/>
  <c r="F273" i="1"/>
  <c r="R272" i="1"/>
  <c r="Q272" i="1"/>
  <c r="P272" i="1"/>
  <c r="O272" i="1"/>
  <c r="M272" i="1"/>
  <c r="N272" i="1" s="1"/>
  <c r="H272" i="1"/>
  <c r="F272" i="1"/>
  <c r="R271" i="1"/>
  <c r="Q271" i="1"/>
  <c r="P271" i="1"/>
  <c r="O271" i="1"/>
  <c r="M271" i="1"/>
  <c r="N271" i="1" s="1"/>
  <c r="H271" i="1"/>
  <c r="F271" i="1"/>
  <c r="R270" i="1"/>
  <c r="Q270" i="1"/>
  <c r="P270" i="1"/>
  <c r="O270" i="1"/>
  <c r="M270" i="1"/>
  <c r="N270" i="1" s="1"/>
  <c r="H270" i="1"/>
  <c r="F270" i="1"/>
  <c r="R269" i="1"/>
  <c r="Q269" i="1"/>
  <c r="P269" i="1"/>
  <c r="O269" i="1"/>
  <c r="M269" i="1"/>
  <c r="N269" i="1" s="1"/>
  <c r="H269" i="1"/>
  <c r="F269" i="1"/>
  <c r="I269" i="1" s="1"/>
  <c r="R268" i="1"/>
  <c r="Q268" i="1"/>
  <c r="P268" i="1"/>
  <c r="O268" i="1"/>
  <c r="M268" i="1"/>
  <c r="N268" i="1" s="1"/>
  <c r="H268" i="1"/>
  <c r="F268" i="1"/>
  <c r="R267" i="1"/>
  <c r="Q267" i="1"/>
  <c r="P267" i="1"/>
  <c r="O267" i="1"/>
  <c r="M267" i="1"/>
  <c r="N267" i="1" s="1"/>
  <c r="H267" i="1"/>
  <c r="F267" i="1"/>
  <c r="I267" i="1" s="1"/>
  <c r="R266" i="1"/>
  <c r="Q266" i="1"/>
  <c r="P266" i="1"/>
  <c r="O266" i="1"/>
  <c r="M266" i="1"/>
  <c r="N266" i="1" s="1"/>
  <c r="H266" i="1"/>
  <c r="F266" i="1"/>
  <c r="I266" i="1" s="1"/>
  <c r="R265" i="1"/>
  <c r="Q265" i="1"/>
  <c r="P265" i="1"/>
  <c r="O265" i="1"/>
  <c r="M265" i="1"/>
  <c r="N265" i="1" s="1"/>
  <c r="H265" i="1"/>
  <c r="F265" i="1"/>
  <c r="R264" i="1"/>
  <c r="Q264" i="1"/>
  <c r="P264" i="1"/>
  <c r="O264" i="1"/>
  <c r="M264" i="1"/>
  <c r="N264" i="1" s="1"/>
  <c r="H264" i="1"/>
  <c r="F264" i="1"/>
  <c r="K264" i="1" s="1"/>
  <c r="R263" i="1"/>
  <c r="Q263" i="1"/>
  <c r="P263" i="1"/>
  <c r="O263" i="1"/>
  <c r="M263" i="1"/>
  <c r="N263" i="1" s="1"/>
  <c r="H263" i="1"/>
  <c r="F263" i="1"/>
  <c r="R262" i="1"/>
  <c r="Q262" i="1"/>
  <c r="P262" i="1"/>
  <c r="O262" i="1"/>
  <c r="M262" i="1"/>
  <c r="N262" i="1" s="1"/>
  <c r="H262" i="1"/>
  <c r="F262" i="1"/>
  <c r="R261" i="1"/>
  <c r="Q261" i="1"/>
  <c r="P261" i="1"/>
  <c r="O261" i="1"/>
  <c r="M261" i="1"/>
  <c r="N261" i="1" s="1"/>
  <c r="H261" i="1"/>
  <c r="F261" i="1"/>
  <c r="I261" i="1" s="1"/>
  <c r="R260" i="1"/>
  <c r="Q260" i="1"/>
  <c r="P260" i="1"/>
  <c r="O260" i="1"/>
  <c r="M260" i="1"/>
  <c r="N260" i="1" s="1"/>
  <c r="H260" i="1"/>
  <c r="F260" i="1"/>
  <c r="J260" i="1" s="1"/>
  <c r="R259" i="1"/>
  <c r="Q259" i="1"/>
  <c r="P259" i="1"/>
  <c r="O259" i="1"/>
  <c r="M259" i="1"/>
  <c r="N259" i="1" s="1"/>
  <c r="H259" i="1"/>
  <c r="F259" i="1"/>
  <c r="I259" i="1" s="1"/>
  <c r="R258" i="1"/>
  <c r="Q258" i="1"/>
  <c r="P258" i="1"/>
  <c r="O258" i="1"/>
  <c r="M258" i="1"/>
  <c r="N258" i="1" s="1"/>
  <c r="H258" i="1"/>
  <c r="F258" i="1"/>
  <c r="R257" i="1"/>
  <c r="Q257" i="1"/>
  <c r="P257" i="1"/>
  <c r="O257" i="1"/>
  <c r="M257" i="1"/>
  <c r="N257" i="1" s="1"/>
  <c r="H257" i="1"/>
  <c r="F257" i="1"/>
  <c r="R256" i="1"/>
  <c r="Q256" i="1"/>
  <c r="P256" i="1"/>
  <c r="O256" i="1"/>
  <c r="M256" i="1"/>
  <c r="N256" i="1" s="1"/>
  <c r="H256" i="1"/>
  <c r="F256" i="1"/>
  <c r="K256" i="1" s="1"/>
  <c r="R255" i="1"/>
  <c r="Q255" i="1"/>
  <c r="P255" i="1"/>
  <c r="O255" i="1"/>
  <c r="M255" i="1"/>
  <c r="N255" i="1" s="1"/>
  <c r="H255" i="1"/>
  <c r="F255" i="1"/>
  <c r="J255" i="1" s="1"/>
  <c r="R254" i="1"/>
  <c r="Q254" i="1"/>
  <c r="P254" i="1"/>
  <c r="O254" i="1"/>
  <c r="M254" i="1"/>
  <c r="N254" i="1" s="1"/>
  <c r="H254" i="1"/>
  <c r="F254" i="1"/>
  <c r="R253" i="1"/>
  <c r="Q253" i="1"/>
  <c r="P253" i="1"/>
  <c r="O253" i="1"/>
  <c r="M253" i="1"/>
  <c r="N253" i="1" s="1"/>
  <c r="H253" i="1"/>
  <c r="F253" i="1"/>
  <c r="J253" i="1" s="1"/>
  <c r="R252" i="1"/>
  <c r="Q252" i="1"/>
  <c r="P252" i="1"/>
  <c r="O252" i="1"/>
  <c r="M252" i="1"/>
  <c r="N252" i="1" s="1"/>
  <c r="H252" i="1"/>
  <c r="F252" i="1"/>
  <c r="J252" i="1" s="1"/>
  <c r="R251" i="1"/>
  <c r="Q251" i="1"/>
  <c r="P251" i="1"/>
  <c r="O251" i="1"/>
  <c r="M251" i="1"/>
  <c r="N251" i="1" s="1"/>
  <c r="H251" i="1"/>
  <c r="F251" i="1"/>
  <c r="R250" i="1"/>
  <c r="Q250" i="1"/>
  <c r="P250" i="1"/>
  <c r="O250" i="1"/>
  <c r="M250" i="1"/>
  <c r="N250" i="1" s="1"/>
  <c r="H250" i="1"/>
  <c r="F250" i="1"/>
  <c r="I250" i="1" s="1"/>
  <c r="R249" i="1"/>
  <c r="Q249" i="1"/>
  <c r="P249" i="1"/>
  <c r="O249" i="1"/>
  <c r="M249" i="1"/>
  <c r="N249" i="1" s="1"/>
  <c r="H249" i="1"/>
  <c r="F249" i="1"/>
  <c r="R248" i="1"/>
  <c r="Q248" i="1"/>
  <c r="P248" i="1"/>
  <c r="O248" i="1"/>
  <c r="M248" i="1"/>
  <c r="N248" i="1" s="1"/>
  <c r="H248" i="1"/>
  <c r="F248" i="1"/>
  <c r="I248" i="1" s="1"/>
  <c r="R247" i="1"/>
  <c r="Q247" i="1"/>
  <c r="P247" i="1"/>
  <c r="O247" i="1"/>
  <c r="M247" i="1"/>
  <c r="N247" i="1" s="1"/>
  <c r="H247" i="1"/>
  <c r="F247" i="1"/>
  <c r="J247" i="1" s="1"/>
  <c r="R246" i="1"/>
  <c r="Q246" i="1"/>
  <c r="P246" i="1"/>
  <c r="O246" i="1"/>
  <c r="M246" i="1"/>
  <c r="N246" i="1" s="1"/>
  <c r="H246" i="1"/>
  <c r="F246" i="1"/>
  <c r="R245" i="1"/>
  <c r="Q245" i="1"/>
  <c r="P245" i="1"/>
  <c r="O245" i="1"/>
  <c r="M245" i="1"/>
  <c r="N245" i="1" s="1"/>
  <c r="H245" i="1"/>
  <c r="F245" i="1"/>
  <c r="R244" i="1"/>
  <c r="Q244" i="1"/>
  <c r="P244" i="1"/>
  <c r="O244" i="1"/>
  <c r="M244" i="1"/>
  <c r="N244" i="1" s="1"/>
  <c r="H244" i="1"/>
  <c r="F244" i="1"/>
  <c r="J244" i="1" s="1"/>
  <c r="R243" i="1"/>
  <c r="Q243" i="1"/>
  <c r="P243" i="1"/>
  <c r="O243" i="1"/>
  <c r="M243" i="1"/>
  <c r="N243" i="1" s="1"/>
  <c r="H243" i="1"/>
  <c r="F243" i="1"/>
  <c r="I243" i="1" s="1"/>
  <c r="R242" i="1"/>
  <c r="Q242" i="1"/>
  <c r="P242" i="1"/>
  <c r="O242" i="1"/>
  <c r="M242" i="1"/>
  <c r="N242" i="1" s="1"/>
  <c r="H242" i="1"/>
  <c r="F242" i="1"/>
  <c r="I242" i="1" s="1"/>
  <c r="R241" i="1"/>
  <c r="Q241" i="1"/>
  <c r="P241" i="1"/>
  <c r="O241" i="1"/>
  <c r="M241" i="1"/>
  <c r="N241" i="1" s="1"/>
  <c r="H241" i="1"/>
  <c r="F241" i="1"/>
  <c r="R240" i="1"/>
  <c r="Q240" i="1"/>
  <c r="P240" i="1"/>
  <c r="O240" i="1"/>
  <c r="M240" i="1"/>
  <c r="N240" i="1" s="1"/>
  <c r="H240" i="1"/>
  <c r="F240" i="1"/>
  <c r="K240" i="1" s="1"/>
  <c r="R239" i="1"/>
  <c r="Q239" i="1"/>
  <c r="P239" i="1"/>
  <c r="O239" i="1"/>
  <c r="M239" i="1"/>
  <c r="N239" i="1" s="1"/>
  <c r="H239" i="1"/>
  <c r="F239" i="1"/>
  <c r="J239" i="1" s="1"/>
  <c r="R238" i="1"/>
  <c r="Q238" i="1"/>
  <c r="P238" i="1"/>
  <c r="O238" i="1"/>
  <c r="M238" i="1"/>
  <c r="N238" i="1" s="1"/>
  <c r="H238" i="1"/>
  <c r="F238" i="1"/>
  <c r="R237" i="1"/>
  <c r="Q237" i="1"/>
  <c r="P237" i="1"/>
  <c r="O237" i="1"/>
  <c r="M237" i="1"/>
  <c r="N237" i="1" s="1"/>
  <c r="H237" i="1"/>
  <c r="F237" i="1"/>
  <c r="J237" i="1" s="1"/>
  <c r="R236" i="1"/>
  <c r="Q236" i="1"/>
  <c r="P236" i="1"/>
  <c r="O236" i="1"/>
  <c r="M236" i="1"/>
  <c r="N236" i="1" s="1"/>
  <c r="H236" i="1"/>
  <c r="F236" i="1"/>
  <c r="J236" i="1" s="1"/>
  <c r="R235" i="1"/>
  <c r="Q235" i="1"/>
  <c r="P235" i="1"/>
  <c r="O235" i="1"/>
  <c r="M235" i="1"/>
  <c r="N235" i="1" s="1"/>
  <c r="H235" i="1"/>
  <c r="F235" i="1"/>
  <c r="I235" i="1" s="1"/>
  <c r="R234" i="1"/>
  <c r="Q234" i="1"/>
  <c r="P234" i="1"/>
  <c r="O234" i="1"/>
  <c r="M234" i="1"/>
  <c r="N234" i="1" s="1"/>
  <c r="H234" i="1"/>
  <c r="F234" i="1"/>
  <c r="R233" i="1"/>
  <c r="Q233" i="1"/>
  <c r="P233" i="1"/>
  <c r="O233" i="1"/>
  <c r="M233" i="1"/>
  <c r="N233" i="1" s="1"/>
  <c r="H233" i="1"/>
  <c r="F233" i="1"/>
  <c r="R232" i="1"/>
  <c r="Q232" i="1"/>
  <c r="P232" i="1"/>
  <c r="O232" i="1"/>
  <c r="M232" i="1"/>
  <c r="N232" i="1" s="1"/>
  <c r="H232" i="1"/>
  <c r="F232" i="1"/>
  <c r="K232" i="1" s="1"/>
  <c r="R231" i="1"/>
  <c r="Q231" i="1"/>
  <c r="P231" i="1"/>
  <c r="O231" i="1"/>
  <c r="M231" i="1"/>
  <c r="N231" i="1" s="1"/>
  <c r="H231" i="1"/>
  <c r="F231" i="1"/>
  <c r="J231" i="1" s="1"/>
  <c r="R230" i="1"/>
  <c r="Q230" i="1"/>
  <c r="P230" i="1"/>
  <c r="O230" i="1"/>
  <c r="M230" i="1"/>
  <c r="N230" i="1" s="1"/>
  <c r="H230" i="1"/>
  <c r="F230" i="1"/>
  <c r="R229" i="1"/>
  <c r="Q229" i="1"/>
  <c r="P229" i="1"/>
  <c r="O229" i="1"/>
  <c r="M229" i="1"/>
  <c r="N229" i="1" s="1"/>
  <c r="H229" i="1"/>
  <c r="F229" i="1"/>
  <c r="I229" i="1" s="1"/>
  <c r="R228" i="1"/>
  <c r="Q228" i="1"/>
  <c r="P228" i="1"/>
  <c r="O228" i="1"/>
  <c r="M228" i="1"/>
  <c r="N228" i="1" s="1"/>
  <c r="H228" i="1"/>
  <c r="F228" i="1"/>
  <c r="J228" i="1" s="1"/>
  <c r="R227" i="1"/>
  <c r="Q227" i="1"/>
  <c r="P227" i="1"/>
  <c r="O227" i="1"/>
  <c r="M227" i="1"/>
  <c r="N227" i="1" s="1"/>
  <c r="H227" i="1"/>
  <c r="F227" i="1"/>
  <c r="R226" i="1"/>
  <c r="Q226" i="1"/>
  <c r="P226" i="1"/>
  <c r="O226" i="1"/>
  <c r="M226" i="1"/>
  <c r="N226" i="1" s="1"/>
  <c r="H226" i="1"/>
  <c r="F226" i="1"/>
  <c r="I226" i="1" s="1"/>
  <c r="R225" i="1"/>
  <c r="Q225" i="1"/>
  <c r="P225" i="1"/>
  <c r="O225" i="1"/>
  <c r="M225" i="1"/>
  <c r="N225" i="1" s="1"/>
  <c r="H225" i="1"/>
  <c r="F225" i="1"/>
  <c r="R224" i="1"/>
  <c r="Q224" i="1"/>
  <c r="P224" i="1"/>
  <c r="O224" i="1"/>
  <c r="M224" i="1"/>
  <c r="N224" i="1" s="1"/>
  <c r="H224" i="1"/>
  <c r="F224" i="1"/>
  <c r="I224" i="1" s="1"/>
  <c r="R223" i="1"/>
  <c r="Q223" i="1"/>
  <c r="P223" i="1"/>
  <c r="O223" i="1"/>
  <c r="M223" i="1"/>
  <c r="N223" i="1" s="1"/>
  <c r="H223" i="1"/>
  <c r="F223" i="1"/>
  <c r="J223" i="1" s="1"/>
  <c r="R222" i="1"/>
  <c r="Q222" i="1"/>
  <c r="P222" i="1"/>
  <c r="O222" i="1"/>
  <c r="M222" i="1"/>
  <c r="N222" i="1" s="1"/>
  <c r="H222" i="1"/>
  <c r="F222" i="1"/>
  <c r="R221" i="1"/>
  <c r="Q221" i="1"/>
  <c r="P221" i="1"/>
  <c r="O221" i="1"/>
  <c r="M221" i="1"/>
  <c r="N221" i="1" s="1"/>
  <c r="H221" i="1"/>
  <c r="F221" i="1"/>
  <c r="R220" i="1"/>
  <c r="Q220" i="1"/>
  <c r="P220" i="1"/>
  <c r="O220" i="1"/>
  <c r="M220" i="1"/>
  <c r="N220" i="1" s="1"/>
  <c r="H220" i="1"/>
  <c r="F220" i="1"/>
  <c r="J220" i="1" s="1"/>
  <c r="R219" i="1"/>
  <c r="Q219" i="1"/>
  <c r="P219" i="1"/>
  <c r="O219" i="1"/>
  <c r="M219" i="1"/>
  <c r="N219" i="1" s="1"/>
  <c r="H219" i="1"/>
  <c r="F219" i="1"/>
  <c r="I219" i="1" s="1"/>
  <c r="R218" i="1"/>
  <c r="Q218" i="1"/>
  <c r="P218" i="1"/>
  <c r="O218" i="1"/>
  <c r="M218" i="1"/>
  <c r="N218" i="1" s="1"/>
  <c r="H218" i="1"/>
  <c r="F218" i="1"/>
  <c r="I218" i="1" s="1"/>
  <c r="R217" i="1"/>
  <c r="Q217" i="1"/>
  <c r="P217" i="1"/>
  <c r="O217" i="1"/>
  <c r="M217" i="1"/>
  <c r="N217" i="1" s="1"/>
  <c r="H217" i="1"/>
  <c r="F217" i="1"/>
  <c r="R216" i="1"/>
  <c r="Q216" i="1"/>
  <c r="P216" i="1"/>
  <c r="O216" i="1"/>
  <c r="M216" i="1"/>
  <c r="N216" i="1" s="1"/>
  <c r="H216" i="1"/>
  <c r="F216" i="1"/>
  <c r="I216" i="1" s="1"/>
  <c r="R215" i="1"/>
  <c r="Q215" i="1"/>
  <c r="P215" i="1"/>
  <c r="O215" i="1"/>
  <c r="M215" i="1"/>
  <c r="N215" i="1" s="1"/>
  <c r="H215" i="1"/>
  <c r="F215" i="1"/>
  <c r="K215" i="1" s="1"/>
  <c r="R214" i="1"/>
  <c r="Q214" i="1"/>
  <c r="P214" i="1"/>
  <c r="O214" i="1"/>
  <c r="M214" i="1"/>
  <c r="N214" i="1" s="1"/>
  <c r="H214" i="1"/>
  <c r="F214" i="1"/>
  <c r="R213" i="1"/>
  <c r="Q213" i="1"/>
  <c r="P213" i="1"/>
  <c r="O213" i="1"/>
  <c r="M213" i="1"/>
  <c r="N213" i="1" s="1"/>
  <c r="H213" i="1"/>
  <c r="F213" i="1"/>
  <c r="K213" i="1" s="1"/>
  <c r="R212" i="1"/>
  <c r="Q212" i="1"/>
  <c r="P212" i="1"/>
  <c r="O212" i="1"/>
  <c r="M212" i="1"/>
  <c r="N212" i="1" s="1"/>
  <c r="H212" i="1"/>
  <c r="F212" i="1"/>
  <c r="I212" i="1" s="1"/>
  <c r="R211" i="1"/>
  <c r="Q211" i="1"/>
  <c r="P211" i="1"/>
  <c r="O211" i="1"/>
  <c r="M211" i="1"/>
  <c r="N211" i="1" s="1"/>
  <c r="H211" i="1"/>
  <c r="F211" i="1"/>
  <c r="R210" i="1"/>
  <c r="Q210" i="1"/>
  <c r="P210" i="1"/>
  <c r="O210" i="1"/>
  <c r="M210" i="1"/>
  <c r="N210" i="1" s="1"/>
  <c r="H210" i="1"/>
  <c r="F210" i="1"/>
  <c r="I210" i="1" s="1"/>
  <c r="R209" i="1"/>
  <c r="Q209" i="1"/>
  <c r="P209" i="1"/>
  <c r="O209" i="1"/>
  <c r="M209" i="1"/>
  <c r="N209" i="1" s="1"/>
  <c r="H209" i="1"/>
  <c r="F209" i="1"/>
  <c r="R208" i="1"/>
  <c r="Q208" i="1"/>
  <c r="P208" i="1"/>
  <c r="O208" i="1"/>
  <c r="M208" i="1"/>
  <c r="N208" i="1" s="1"/>
  <c r="H208" i="1"/>
  <c r="F208" i="1"/>
  <c r="R207" i="1"/>
  <c r="Q207" i="1"/>
  <c r="P207" i="1"/>
  <c r="O207" i="1"/>
  <c r="M207" i="1"/>
  <c r="N207" i="1" s="1"/>
  <c r="H207" i="1"/>
  <c r="F207" i="1"/>
  <c r="J207" i="1" s="1"/>
  <c r="R206" i="1"/>
  <c r="Q206" i="1"/>
  <c r="P206" i="1"/>
  <c r="O206" i="1"/>
  <c r="M206" i="1"/>
  <c r="N206" i="1" s="1"/>
  <c r="H206" i="1"/>
  <c r="F206" i="1"/>
  <c r="I206" i="1" s="1"/>
  <c r="R205" i="1"/>
  <c r="Q205" i="1"/>
  <c r="P205" i="1"/>
  <c r="O205" i="1"/>
  <c r="M205" i="1"/>
  <c r="N205" i="1" s="1"/>
  <c r="H205" i="1"/>
  <c r="F205" i="1"/>
  <c r="I205" i="1" s="1"/>
  <c r="R204" i="1"/>
  <c r="Q204" i="1"/>
  <c r="P204" i="1"/>
  <c r="O204" i="1"/>
  <c r="M204" i="1"/>
  <c r="N204" i="1" s="1"/>
  <c r="H204" i="1"/>
  <c r="F204" i="1"/>
  <c r="J204" i="1" s="1"/>
  <c r="R203" i="1"/>
  <c r="Q203" i="1"/>
  <c r="P203" i="1"/>
  <c r="O203" i="1"/>
  <c r="M203" i="1"/>
  <c r="N203" i="1" s="1"/>
  <c r="H203" i="1"/>
  <c r="F203" i="1"/>
  <c r="R202" i="1"/>
  <c r="Q202" i="1"/>
  <c r="P202" i="1"/>
  <c r="O202" i="1"/>
  <c r="M202" i="1"/>
  <c r="N202" i="1" s="1"/>
  <c r="H202" i="1"/>
  <c r="F202" i="1"/>
  <c r="R201" i="1"/>
  <c r="Q201" i="1"/>
  <c r="P201" i="1"/>
  <c r="O201" i="1"/>
  <c r="M201" i="1"/>
  <c r="N201" i="1" s="1"/>
  <c r="H201" i="1"/>
  <c r="F201" i="1"/>
  <c r="I201" i="1" s="1"/>
  <c r="R200" i="1"/>
  <c r="Q200" i="1"/>
  <c r="P200" i="1"/>
  <c r="O200" i="1"/>
  <c r="M200" i="1"/>
  <c r="N200" i="1" s="1"/>
  <c r="H200" i="1"/>
  <c r="F200" i="1"/>
  <c r="R199" i="1"/>
  <c r="Q199" i="1"/>
  <c r="P199" i="1"/>
  <c r="O199" i="1"/>
  <c r="M199" i="1"/>
  <c r="N199" i="1" s="1"/>
  <c r="H199" i="1"/>
  <c r="F199" i="1"/>
  <c r="R198" i="1"/>
  <c r="Q198" i="1"/>
  <c r="P198" i="1"/>
  <c r="O198" i="1"/>
  <c r="M198" i="1"/>
  <c r="N198" i="1" s="1"/>
  <c r="H198" i="1"/>
  <c r="F198" i="1"/>
  <c r="I198" i="1" s="1"/>
  <c r="R197" i="1"/>
  <c r="Q197" i="1"/>
  <c r="P197" i="1"/>
  <c r="O197" i="1"/>
  <c r="M197" i="1"/>
  <c r="N197" i="1" s="1"/>
  <c r="H197" i="1"/>
  <c r="F197" i="1"/>
  <c r="I197" i="1" s="1"/>
  <c r="R196" i="1"/>
  <c r="Q196" i="1"/>
  <c r="P196" i="1"/>
  <c r="O196" i="1"/>
  <c r="M196" i="1"/>
  <c r="N196" i="1" s="1"/>
  <c r="H196" i="1"/>
  <c r="F196" i="1"/>
  <c r="I196" i="1" s="1"/>
  <c r="R195" i="1"/>
  <c r="Q195" i="1"/>
  <c r="P195" i="1"/>
  <c r="O195" i="1"/>
  <c r="M195" i="1"/>
  <c r="N195" i="1" s="1"/>
  <c r="H195" i="1"/>
  <c r="F195" i="1"/>
  <c r="R194" i="1"/>
  <c r="Q194" i="1"/>
  <c r="P194" i="1"/>
  <c r="O194" i="1"/>
  <c r="M194" i="1"/>
  <c r="N194" i="1" s="1"/>
  <c r="H194" i="1"/>
  <c r="F194" i="1"/>
  <c r="I194" i="1" s="1"/>
  <c r="R193" i="1"/>
  <c r="Q193" i="1"/>
  <c r="P193" i="1"/>
  <c r="O193" i="1"/>
  <c r="M193" i="1"/>
  <c r="N193" i="1" s="1"/>
  <c r="H193" i="1"/>
  <c r="F193" i="1"/>
  <c r="I193" i="1" s="1"/>
  <c r="R192" i="1"/>
  <c r="Q192" i="1"/>
  <c r="P192" i="1"/>
  <c r="O192" i="1"/>
  <c r="M192" i="1"/>
  <c r="N192" i="1" s="1"/>
  <c r="H192" i="1"/>
  <c r="F192" i="1"/>
  <c r="R191" i="1"/>
  <c r="Q191" i="1"/>
  <c r="P191" i="1"/>
  <c r="O191" i="1"/>
  <c r="M191" i="1"/>
  <c r="N191" i="1" s="1"/>
  <c r="H191" i="1"/>
  <c r="F191" i="1"/>
  <c r="J191" i="1" s="1"/>
  <c r="R190" i="1"/>
  <c r="Q190" i="1"/>
  <c r="P190" i="1"/>
  <c r="O190" i="1"/>
  <c r="M190" i="1"/>
  <c r="N190" i="1" s="1"/>
  <c r="H190" i="1"/>
  <c r="F190" i="1"/>
  <c r="R189" i="1"/>
  <c r="Q189" i="1"/>
  <c r="P189" i="1"/>
  <c r="O189" i="1"/>
  <c r="M189" i="1"/>
  <c r="N189" i="1" s="1"/>
  <c r="H189" i="1"/>
  <c r="F189" i="1"/>
  <c r="R188" i="1"/>
  <c r="Q188" i="1"/>
  <c r="P188" i="1"/>
  <c r="O188" i="1"/>
  <c r="M188" i="1"/>
  <c r="N188" i="1" s="1"/>
  <c r="H188" i="1"/>
  <c r="F188" i="1"/>
  <c r="I188" i="1" s="1"/>
  <c r="R187" i="1"/>
  <c r="Q187" i="1"/>
  <c r="P187" i="1"/>
  <c r="O187" i="1"/>
  <c r="M187" i="1"/>
  <c r="N187" i="1" s="1"/>
  <c r="H187" i="1"/>
  <c r="F187" i="1"/>
  <c r="R186" i="1"/>
  <c r="Q186" i="1"/>
  <c r="P186" i="1"/>
  <c r="O186" i="1"/>
  <c r="M186" i="1"/>
  <c r="N186" i="1" s="1"/>
  <c r="H186" i="1"/>
  <c r="F186" i="1"/>
  <c r="R185" i="1"/>
  <c r="Q185" i="1"/>
  <c r="P185" i="1"/>
  <c r="O185" i="1"/>
  <c r="M185" i="1"/>
  <c r="N185" i="1" s="1"/>
  <c r="H185" i="1"/>
  <c r="F185" i="1"/>
  <c r="I185" i="1" s="1"/>
  <c r="R184" i="1"/>
  <c r="Q184" i="1"/>
  <c r="P184" i="1"/>
  <c r="O184" i="1"/>
  <c r="M184" i="1"/>
  <c r="N184" i="1" s="1"/>
  <c r="H184" i="1"/>
  <c r="F184" i="1"/>
  <c r="J184" i="1" s="1"/>
  <c r="R183" i="1"/>
  <c r="Q183" i="1"/>
  <c r="P183" i="1"/>
  <c r="O183" i="1"/>
  <c r="M183" i="1"/>
  <c r="N183" i="1" s="1"/>
  <c r="H183" i="1"/>
  <c r="F183" i="1"/>
  <c r="R182" i="1"/>
  <c r="Q182" i="1"/>
  <c r="P182" i="1"/>
  <c r="O182" i="1"/>
  <c r="M182" i="1"/>
  <c r="N182" i="1" s="1"/>
  <c r="H182" i="1"/>
  <c r="F182" i="1"/>
  <c r="R181" i="1"/>
  <c r="Q181" i="1"/>
  <c r="P181" i="1"/>
  <c r="O181" i="1"/>
  <c r="M181" i="1"/>
  <c r="N181" i="1" s="1"/>
  <c r="H181" i="1"/>
  <c r="F181" i="1"/>
  <c r="R180" i="1"/>
  <c r="Q180" i="1"/>
  <c r="P180" i="1"/>
  <c r="O180" i="1"/>
  <c r="M180" i="1"/>
  <c r="N180" i="1" s="1"/>
  <c r="H180" i="1"/>
  <c r="F180" i="1"/>
  <c r="I180" i="1" s="1"/>
  <c r="R179" i="1"/>
  <c r="Q179" i="1"/>
  <c r="P179" i="1"/>
  <c r="O179" i="1"/>
  <c r="M179" i="1"/>
  <c r="N179" i="1" s="1"/>
  <c r="H179" i="1"/>
  <c r="F179" i="1"/>
  <c r="R178" i="1"/>
  <c r="Q178" i="1"/>
  <c r="P178" i="1"/>
  <c r="O178" i="1"/>
  <c r="M178" i="1"/>
  <c r="N178" i="1" s="1"/>
  <c r="H178" i="1"/>
  <c r="F178" i="1"/>
  <c r="I178" i="1" s="1"/>
  <c r="R177" i="1"/>
  <c r="Q177" i="1"/>
  <c r="P177" i="1"/>
  <c r="O177" i="1"/>
  <c r="M177" i="1"/>
  <c r="N177" i="1" s="1"/>
  <c r="H177" i="1"/>
  <c r="F177" i="1"/>
  <c r="K177" i="1" s="1"/>
  <c r="R176" i="1"/>
  <c r="Q176" i="1"/>
  <c r="P176" i="1"/>
  <c r="O176" i="1"/>
  <c r="M176" i="1"/>
  <c r="N176" i="1" s="1"/>
  <c r="H176" i="1"/>
  <c r="F176" i="1"/>
  <c r="J176" i="1" s="1"/>
  <c r="R175" i="1"/>
  <c r="Q175" i="1"/>
  <c r="P175" i="1"/>
  <c r="O175" i="1"/>
  <c r="M175" i="1"/>
  <c r="N175" i="1" s="1"/>
  <c r="H175" i="1"/>
  <c r="F175" i="1"/>
  <c r="I175" i="1" s="1"/>
  <c r="R174" i="1"/>
  <c r="Q174" i="1"/>
  <c r="P174" i="1"/>
  <c r="O174" i="1"/>
  <c r="M174" i="1"/>
  <c r="N174" i="1" s="1"/>
  <c r="H174" i="1"/>
  <c r="F174" i="1"/>
  <c r="R173" i="1"/>
  <c r="Q173" i="1"/>
  <c r="P173" i="1"/>
  <c r="O173" i="1"/>
  <c r="M173" i="1"/>
  <c r="N173" i="1" s="1"/>
  <c r="H173" i="1"/>
  <c r="F173" i="1"/>
  <c r="I173" i="1" s="1"/>
  <c r="R172" i="1"/>
  <c r="Q172" i="1"/>
  <c r="P172" i="1"/>
  <c r="O172" i="1"/>
  <c r="M172" i="1"/>
  <c r="N172" i="1" s="1"/>
  <c r="H172" i="1"/>
  <c r="F172" i="1"/>
  <c r="R171" i="1"/>
  <c r="Q171" i="1"/>
  <c r="P171" i="1"/>
  <c r="O171" i="1"/>
  <c r="M171" i="1"/>
  <c r="N171" i="1" s="1"/>
  <c r="H171" i="1"/>
  <c r="F171" i="1"/>
  <c r="I171" i="1" s="1"/>
  <c r="R170" i="1"/>
  <c r="Q170" i="1"/>
  <c r="P170" i="1"/>
  <c r="O170" i="1"/>
  <c r="M170" i="1"/>
  <c r="N170" i="1" s="1"/>
  <c r="H170" i="1"/>
  <c r="F170" i="1"/>
  <c r="R169" i="1"/>
  <c r="Q169" i="1"/>
  <c r="P169" i="1"/>
  <c r="O169" i="1"/>
  <c r="M169" i="1"/>
  <c r="N169" i="1" s="1"/>
  <c r="H169" i="1"/>
  <c r="F169" i="1"/>
  <c r="R168" i="1"/>
  <c r="Q168" i="1"/>
  <c r="P168" i="1"/>
  <c r="O168" i="1"/>
  <c r="M168" i="1"/>
  <c r="N168" i="1" s="1"/>
  <c r="H168" i="1"/>
  <c r="F168" i="1"/>
  <c r="R167" i="1"/>
  <c r="Q167" i="1"/>
  <c r="P167" i="1"/>
  <c r="O167" i="1"/>
  <c r="M167" i="1"/>
  <c r="N167" i="1" s="1"/>
  <c r="H167" i="1"/>
  <c r="F167" i="1"/>
  <c r="J167" i="1" s="1"/>
  <c r="R166" i="1"/>
  <c r="Q166" i="1"/>
  <c r="P166" i="1"/>
  <c r="O166" i="1"/>
  <c r="M166" i="1"/>
  <c r="N166" i="1" s="1"/>
  <c r="H166" i="1"/>
  <c r="F166" i="1"/>
  <c r="R165" i="1"/>
  <c r="Q165" i="1"/>
  <c r="P165" i="1"/>
  <c r="O165" i="1"/>
  <c r="M165" i="1"/>
  <c r="N165" i="1" s="1"/>
  <c r="H165" i="1"/>
  <c r="F165" i="1"/>
  <c r="I165" i="1" s="1"/>
  <c r="R164" i="1"/>
  <c r="Q164" i="1"/>
  <c r="P164" i="1"/>
  <c r="O164" i="1"/>
  <c r="M164" i="1"/>
  <c r="N164" i="1" s="1"/>
  <c r="H164" i="1"/>
  <c r="F164" i="1"/>
  <c r="K164" i="1" s="1"/>
  <c r="R163" i="1"/>
  <c r="Q163" i="1"/>
  <c r="P163" i="1"/>
  <c r="O163" i="1"/>
  <c r="M163" i="1"/>
  <c r="N163" i="1" s="1"/>
  <c r="H163" i="1"/>
  <c r="F163" i="1"/>
  <c r="R162" i="1"/>
  <c r="Q162" i="1"/>
  <c r="P162" i="1"/>
  <c r="O162" i="1"/>
  <c r="M162" i="1"/>
  <c r="N162" i="1" s="1"/>
  <c r="H162" i="1"/>
  <c r="F162" i="1"/>
  <c r="K162" i="1" s="1"/>
  <c r="R161" i="1"/>
  <c r="Q161" i="1"/>
  <c r="P161" i="1"/>
  <c r="O161" i="1"/>
  <c r="M161" i="1"/>
  <c r="N161" i="1" s="1"/>
  <c r="H161" i="1"/>
  <c r="F161" i="1"/>
  <c r="K161" i="1" s="1"/>
  <c r="R160" i="1"/>
  <c r="Q160" i="1"/>
  <c r="P160" i="1"/>
  <c r="O160" i="1"/>
  <c r="M160" i="1"/>
  <c r="N160" i="1" s="1"/>
  <c r="H160" i="1"/>
  <c r="F160" i="1"/>
  <c r="R159" i="1"/>
  <c r="Q159" i="1"/>
  <c r="P159" i="1"/>
  <c r="O159" i="1"/>
  <c r="M159" i="1"/>
  <c r="N159" i="1" s="1"/>
  <c r="H159" i="1"/>
  <c r="F159" i="1"/>
  <c r="J159" i="1" s="1"/>
  <c r="R158" i="1"/>
  <c r="Q158" i="1"/>
  <c r="P158" i="1"/>
  <c r="O158" i="1"/>
  <c r="M158" i="1"/>
  <c r="N158" i="1" s="1"/>
  <c r="H158" i="1"/>
  <c r="F158" i="1"/>
  <c r="I158" i="1" s="1"/>
  <c r="R157" i="1"/>
  <c r="Q157" i="1"/>
  <c r="P157" i="1"/>
  <c r="O157" i="1"/>
  <c r="M157" i="1"/>
  <c r="N157" i="1" s="1"/>
  <c r="H157" i="1"/>
  <c r="F157" i="1"/>
  <c r="R156" i="1"/>
  <c r="Q156" i="1"/>
  <c r="P156" i="1"/>
  <c r="O156" i="1"/>
  <c r="M156" i="1"/>
  <c r="N156" i="1" s="1"/>
  <c r="H156" i="1"/>
  <c r="F156" i="1"/>
  <c r="I156" i="1" s="1"/>
  <c r="R155" i="1"/>
  <c r="Q155" i="1"/>
  <c r="P155" i="1"/>
  <c r="O155" i="1"/>
  <c r="M155" i="1"/>
  <c r="N155" i="1" s="1"/>
  <c r="H155" i="1"/>
  <c r="F155" i="1"/>
  <c r="I155" i="1" s="1"/>
  <c r="R154" i="1"/>
  <c r="Q154" i="1"/>
  <c r="P154" i="1"/>
  <c r="O154" i="1"/>
  <c r="M154" i="1"/>
  <c r="N154" i="1" s="1"/>
  <c r="H154" i="1"/>
  <c r="F154" i="1"/>
  <c r="J154" i="1" s="1"/>
  <c r="R153" i="1"/>
  <c r="Q153" i="1"/>
  <c r="P153" i="1"/>
  <c r="O153" i="1"/>
  <c r="M153" i="1"/>
  <c r="N153" i="1" s="1"/>
  <c r="H153" i="1"/>
  <c r="F153" i="1"/>
  <c r="I153" i="1" s="1"/>
  <c r="R152" i="1"/>
  <c r="Q152" i="1"/>
  <c r="P152" i="1"/>
  <c r="O152" i="1"/>
  <c r="M152" i="1"/>
  <c r="N152" i="1" s="1"/>
  <c r="H152" i="1"/>
  <c r="F152" i="1"/>
  <c r="R151" i="1"/>
  <c r="Q151" i="1"/>
  <c r="P151" i="1"/>
  <c r="O151" i="1"/>
  <c r="M151" i="1"/>
  <c r="N151" i="1" s="1"/>
  <c r="H151" i="1"/>
  <c r="F151" i="1"/>
  <c r="R150" i="1"/>
  <c r="Q150" i="1"/>
  <c r="P150" i="1"/>
  <c r="O150" i="1"/>
  <c r="M150" i="1"/>
  <c r="N150" i="1" s="1"/>
  <c r="H150" i="1"/>
  <c r="F150" i="1"/>
  <c r="I150" i="1" s="1"/>
  <c r="R149" i="1"/>
  <c r="Q149" i="1"/>
  <c r="P149" i="1"/>
  <c r="O149" i="1"/>
  <c r="M149" i="1"/>
  <c r="N149" i="1" s="1"/>
  <c r="H149" i="1"/>
  <c r="F149" i="1"/>
  <c r="R148" i="1"/>
  <c r="Q148" i="1"/>
  <c r="P148" i="1"/>
  <c r="O148" i="1"/>
  <c r="M148" i="1"/>
  <c r="N148" i="1" s="1"/>
  <c r="H148" i="1"/>
  <c r="F148" i="1"/>
  <c r="I148" i="1" s="1"/>
  <c r="R147" i="1"/>
  <c r="Q147" i="1"/>
  <c r="P147" i="1"/>
  <c r="O147" i="1"/>
  <c r="M147" i="1"/>
  <c r="N147" i="1" s="1"/>
  <c r="H147" i="1"/>
  <c r="F147" i="1"/>
  <c r="I147" i="1" s="1"/>
  <c r="R146" i="1"/>
  <c r="Q146" i="1"/>
  <c r="P146" i="1"/>
  <c r="O146" i="1"/>
  <c r="M146" i="1"/>
  <c r="N146" i="1" s="1"/>
  <c r="H146" i="1"/>
  <c r="F146" i="1"/>
  <c r="J146" i="1" s="1"/>
  <c r="R145" i="1"/>
  <c r="Q145" i="1"/>
  <c r="P145" i="1"/>
  <c r="O145" i="1"/>
  <c r="M145" i="1"/>
  <c r="N145" i="1" s="1"/>
  <c r="H145" i="1"/>
  <c r="F145" i="1"/>
  <c r="K145" i="1" s="1"/>
  <c r="R144" i="1"/>
  <c r="Q144" i="1"/>
  <c r="P144" i="1"/>
  <c r="O144" i="1"/>
  <c r="M144" i="1"/>
  <c r="N144" i="1" s="1"/>
  <c r="H144" i="1"/>
  <c r="F144" i="1"/>
  <c r="R143" i="1"/>
  <c r="Q143" i="1"/>
  <c r="P143" i="1"/>
  <c r="O143" i="1"/>
  <c r="M143" i="1"/>
  <c r="N143" i="1" s="1"/>
  <c r="H143" i="1"/>
  <c r="F143" i="1"/>
  <c r="K143" i="1" s="1"/>
  <c r="R142" i="1"/>
  <c r="Q142" i="1"/>
  <c r="P142" i="1"/>
  <c r="O142" i="1"/>
  <c r="M142" i="1"/>
  <c r="N142" i="1" s="1"/>
  <c r="H142" i="1"/>
  <c r="F142" i="1"/>
  <c r="R141" i="1"/>
  <c r="Q141" i="1"/>
  <c r="P141" i="1"/>
  <c r="O141" i="1"/>
  <c r="M141" i="1"/>
  <c r="N141" i="1" s="1"/>
  <c r="H141" i="1"/>
  <c r="F141" i="1"/>
  <c r="R140" i="1"/>
  <c r="Q140" i="1"/>
  <c r="P140" i="1"/>
  <c r="O140" i="1"/>
  <c r="M140" i="1"/>
  <c r="N140" i="1" s="1"/>
  <c r="H140" i="1"/>
  <c r="F140" i="1"/>
  <c r="I140" i="1" s="1"/>
  <c r="R139" i="1"/>
  <c r="Q139" i="1"/>
  <c r="P139" i="1"/>
  <c r="O139" i="1"/>
  <c r="M139" i="1"/>
  <c r="N139" i="1" s="1"/>
  <c r="H139" i="1"/>
  <c r="F139" i="1"/>
  <c r="I139" i="1" s="1"/>
  <c r="R138" i="1"/>
  <c r="Q138" i="1"/>
  <c r="P138" i="1"/>
  <c r="O138" i="1"/>
  <c r="M138" i="1"/>
  <c r="N138" i="1" s="1"/>
  <c r="H138" i="1"/>
  <c r="F138" i="1"/>
  <c r="J138" i="1" s="1"/>
  <c r="R137" i="1"/>
  <c r="Q137" i="1"/>
  <c r="P137" i="1"/>
  <c r="O137" i="1"/>
  <c r="M137" i="1"/>
  <c r="N137" i="1" s="1"/>
  <c r="H137" i="1"/>
  <c r="F137" i="1"/>
  <c r="I137" i="1" s="1"/>
  <c r="R136" i="1"/>
  <c r="Q136" i="1"/>
  <c r="P136" i="1"/>
  <c r="O136" i="1"/>
  <c r="M136" i="1"/>
  <c r="N136" i="1" s="1"/>
  <c r="H136" i="1"/>
  <c r="F136" i="1"/>
  <c r="R135" i="1"/>
  <c r="Q135" i="1"/>
  <c r="P135" i="1"/>
  <c r="O135" i="1"/>
  <c r="M135" i="1"/>
  <c r="N135" i="1" s="1"/>
  <c r="H135" i="1"/>
  <c r="F135" i="1"/>
  <c r="K135" i="1" s="1"/>
  <c r="R134" i="1"/>
  <c r="Q134" i="1"/>
  <c r="P134" i="1"/>
  <c r="O134" i="1"/>
  <c r="M134" i="1"/>
  <c r="N134" i="1" s="1"/>
  <c r="H134" i="1"/>
  <c r="F134" i="1"/>
  <c r="I134" i="1" s="1"/>
  <c r="R133" i="1"/>
  <c r="Q133" i="1"/>
  <c r="P133" i="1"/>
  <c r="O133" i="1"/>
  <c r="M133" i="1"/>
  <c r="N133" i="1" s="1"/>
  <c r="H133" i="1"/>
  <c r="F133" i="1"/>
  <c r="R132" i="1"/>
  <c r="Q132" i="1"/>
  <c r="P132" i="1"/>
  <c r="O132" i="1"/>
  <c r="M132" i="1"/>
  <c r="N132" i="1" s="1"/>
  <c r="H132" i="1"/>
  <c r="F132" i="1"/>
  <c r="I132" i="1" s="1"/>
  <c r="R131" i="1"/>
  <c r="Q131" i="1"/>
  <c r="P131" i="1"/>
  <c r="O131" i="1"/>
  <c r="M131" i="1"/>
  <c r="N131" i="1" s="1"/>
  <c r="H131" i="1"/>
  <c r="F131" i="1"/>
  <c r="R130" i="1"/>
  <c r="Q130" i="1"/>
  <c r="P130" i="1"/>
  <c r="O130" i="1"/>
  <c r="M130" i="1"/>
  <c r="N130" i="1" s="1"/>
  <c r="H130" i="1"/>
  <c r="F130" i="1"/>
  <c r="J130" i="1" s="1"/>
  <c r="R129" i="1"/>
  <c r="Q129" i="1"/>
  <c r="P129" i="1"/>
  <c r="O129" i="1"/>
  <c r="M129" i="1"/>
  <c r="N129" i="1" s="1"/>
  <c r="H129" i="1"/>
  <c r="F129" i="1"/>
  <c r="J129" i="1" s="1"/>
  <c r="R128" i="1"/>
  <c r="Q128" i="1"/>
  <c r="P128" i="1"/>
  <c r="O128" i="1"/>
  <c r="M128" i="1"/>
  <c r="N128" i="1" s="1"/>
  <c r="H128" i="1"/>
  <c r="F128" i="1"/>
  <c r="R127" i="1"/>
  <c r="Q127" i="1"/>
  <c r="P127" i="1"/>
  <c r="O127" i="1"/>
  <c r="M127" i="1"/>
  <c r="N127" i="1" s="1"/>
  <c r="H127" i="1"/>
  <c r="F127" i="1"/>
  <c r="K127" i="1" s="1"/>
  <c r="R126" i="1"/>
  <c r="Q126" i="1"/>
  <c r="P126" i="1"/>
  <c r="O126" i="1"/>
  <c r="M126" i="1"/>
  <c r="N126" i="1" s="1"/>
  <c r="H126" i="1"/>
  <c r="F126" i="1"/>
  <c r="R125" i="1"/>
  <c r="Q125" i="1"/>
  <c r="P125" i="1"/>
  <c r="O125" i="1"/>
  <c r="M125" i="1"/>
  <c r="N125" i="1" s="1"/>
  <c r="H125" i="1"/>
  <c r="F125" i="1"/>
  <c r="R124" i="1"/>
  <c r="Q124" i="1"/>
  <c r="P124" i="1"/>
  <c r="O124" i="1"/>
  <c r="M124" i="1"/>
  <c r="N124" i="1" s="1"/>
  <c r="H124" i="1"/>
  <c r="F124" i="1"/>
  <c r="I124" i="1" s="1"/>
  <c r="R123" i="1"/>
  <c r="Q123" i="1"/>
  <c r="P123" i="1"/>
  <c r="O123" i="1"/>
  <c r="M123" i="1"/>
  <c r="N123" i="1" s="1"/>
  <c r="H123" i="1"/>
  <c r="F123" i="1"/>
  <c r="I123" i="1" s="1"/>
  <c r="R122" i="1"/>
  <c r="Q122" i="1"/>
  <c r="P122" i="1"/>
  <c r="O122" i="1"/>
  <c r="M122" i="1"/>
  <c r="N122" i="1" s="1"/>
  <c r="H122" i="1"/>
  <c r="F122" i="1"/>
  <c r="R121" i="1"/>
  <c r="Q121" i="1"/>
  <c r="P121" i="1"/>
  <c r="O121" i="1"/>
  <c r="M121" i="1"/>
  <c r="N121" i="1" s="1"/>
  <c r="H121" i="1"/>
  <c r="F121" i="1"/>
  <c r="K121" i="1" s="1"/>
  <c r="R120" i="1"/>
  <c r="Q120" i="1"/>
  <c r="P120" i="1"/>
  <c r="O120" i="1"/>
  <c r="M120" i="1"/>
  <c r="N120" i="1" s="1"/>
  <c r="H120" i="1"/>
  <c r="F120" i="1"/>
  <c r="R119" i="1"/>
  <c r="Q119" i="1"/>
  <c r="P119" i="1"/>
  <c r="O119" i="1"/>
  <c r="M119" i="1"/>
  <c r="N119" i="1" s="1"/>
  <c r="H119" i="1"/>
  <c r="F119" i="1"/>
  <c r="J119" i="1" s="1"/>
  <c r="R118" i="1"/>
  <c r="Q118" i="1"/>
  <c r="P118" i="1"/>
  <c r="O118" i="1"/>
  <c r="M118" i="1"/>
  <c r="N118" i="1" s="1"/>
  <c r="H118" i="1"/>
  <c r="F118" i="1"/>
  <c r="I118" i="1" s="1"/>
  <c r="R117" i="1"/>
  <c r="Q117" i="1"/>
  <c r="P117" i="1"/>
  <c r="O117" i="1"/>
  <c r="M117" i="1"/>
  <c r="N117" i="1" s="1"/>
  <c r="H117" i="1"/>
  <c r="F117" i="1"/>
  <c r="K117" i="1" s="1"/>
  <c r="R116" i="1"/>
  <c r="Q116" i="1"/>
  <c r="P116" i="1"/>
  <c r="O116" i="1"/>
  <c r="M116" i="1"/>
  <c r="N116" i="1" s="1"/>
  <c r="H116" i="1"/>
  <c r="F116" i="1"/>
  <c r="I116" i="1" s="1"/>
  <c r="R115" i="1"/>
  <c r="Q115" i="1"/>
  <c r="P115" i="1"/>
  <c r="O115" i="1"/>
  <c r="M115" i="1"/>
  <c r="N115" i="1" s="1"/>
  <c r="H115" i="1"/>
  <c r="F115" i="1"/>
  <c r="R114" i="1"/>
  <c r="Q114" i="1"/>
  <c r="P114" i="1"/>
  <c r="O114" i="1"/>
  <c r="M114" i="1"/>
  <c r="N114" i="1" s="1"/>
  <c r="H114" i="1"/>
  <c r="F114" i="1"/>
  <c r="R113" i="1"/>
  <c r="Q113" i="1"/>
  <c r="P113" i="1"/>
  <c r="O113" i="1"/>
  <c r="M113" i="1"/>
  <c r="N113" i="1" s="1"/>
  <c r="H113" i="1"/>
  <c r="F113" i="1"/>
  <c r="J113" i="1" s="1"/>
  <c r="R112" i="1"/>
  <c r="Q112" i="1"/>
  <c r="P112" i="1"/>
  <c r="O112" i="1"/>
  <c r="M112" i="1"/>
  <c r="N112" i="1" s="1"/>
  <c r="H112" i="1"/>
  <c r="F112" i="1"/>
  <c r="R111" i="1"/>
  <c r="Q111" i="1"/>
  <c r="P111" i="1"/>
  <c r="O111" i="1"/>
  <c r="M111" i="1"/>
  <c r="N111" i="1" s="1"/>
  <c r="H111" i="1"/>
  <c r="F111" i="1"/>
  <c r="K111" i="1" s="1"/>
  <c r="R110" i="1"/>
  <c r="Q110" i="1"/>
  <c r="P110" i="1"/>
  <c r="O110" i="1"/>
  <c r="M110" i="1"/>
  <c r="N110" i="1" s="1"/>
  <c r="H110" i="1"/>
  <c r="F110" i="1"/>
  <c r="I110" i="1" s="1"/>
  <c r="R109" i="1"/>
  <c r="Q109" i="1"/>
  <c r="P109" i="1"/>
  <c r="O109" i="1"/>
  <c r="M109" i="1"/>
  <c r="N109" i="1" s="1"/>
  <c r="H109" i="1"/>
  <c r="F109" i="1"/>
  <c r="K109" i="1" s="1"/>
  <c r="R108" i="1"/>
  <c r="Q108" i="1"/>
  <c r="P108" i="1"/>
  <c r="O108" i="1"/>
  <c r="M108" i="1"/>
  <c r="N108" i="1" s="1"/>
  <c r="H108" i="1"/>
  <c r="F108" i="1"/>
  <c r="I108" i="1" s="1"/>
  <c r="R107" i="1"/>
  <c r="Q107" i="1"/>
  <c r="P107" i="1"/>
  <c r="O107" i="1"/>
  <c r="M107" i="1"/>
  <c r="N107" i="1" s="1"/>
  <c r="H107" i="1"/>
  <c r="F107" i="1"/>
  <c r="I107" i="1" s="1"/>
  <c r="R106" i="1"/>
  <c r="Q106" i="1"/>
  <c r="P106" i="1"/>
  <c r="O106" i="1"/>
  <c r="M106" i="1"/>
  <c r="N106" i="1" s="1"/>
  <c r="H106" i="1"/>
  <c r="F106" i="1"/>
  <c r="R105" i="1"/>
  <c r="Q105" i="1"/>
  <c r="P105" i="1"/>
  <c r="O105" i="1"/>
  <c r="M105" i="1"/>
  <c r="N105" i="1" s="1"/>
  <c r="H105" i="1"/>
  <c r="F105" i="1"/>
  <c r="R104" i="1"/>
  <c r="Q104" i="1"/>
  <c r="P104" i="1"/>
  <c r="O104" i="1"/>
  <c r="M104" i="1"/>
  <c r="N104" i="1" s="1"/>
  <c r="H104" i="1"/>
  <c r="F104" i="1"/>
  <c r="R103" i="1"/>
  <c r="Q103" i="1"/>
  <c r="P103" i="1"/>
  <c r="O103" i="1"/>
  <c r="M103" i="1"/>
  <c r="N103" i="1" s="1"/>
  <c r="H103" i="1"/>
  <c r="F103" i="1"/>
  <c r="K103" i="1" s="1"/>
  <c r="R102" i="1"/>
  <c r="Q102" i="1"/>
  <c r="P102" i="1"/>
  <c r="O102" i="1"/>
  <c r="M102" i="1"/>
  <c r="N102" i="1" s="1"/>
  <c r="H102" i="1"/>
  <c r="F102" i="1"/>
  <c r="I102" i="1" s="1"/>
  <c r="R101" i="1"/>
  <c r="Q101" i="1"/>
  <c r="P101" i="1"/>
  <c r="O101" i="1"/>
  <c r="M101" i="1"/>
  <c r="N101" i="1" s="1"/>
  <c r="H101" i="1"/>
  <c r="F101" i="1"/>
  <c r="K101" i="1" s="1"/>
  <c r="R100" i="1"/>
  <c r="Q100" i="1"/>
  <c r="P100" i="1"/>
  <c r="O100" i="1"/>
  <c r="M100" i="1"/>
  <c r="N100" i="1" s="1"/>
  <c r="H100" i="1"/>
  <c r="F100" i="1"/>
  <c r="I100" i="1" s="1"/>
  <c r="R99" i="1"/>
  <c r="Q99" i="1"/>
  <c r="P99" i="1"/>
  <c r="O99" i="1"/>
  <c r="M99" i="1"/>
  <c r="N99" i="1" s="1"/>
  <c r="H99" i="1"/>
  <c r="F99" i="1"/>
  <c r="K99" i="1" s="1"/>
  <c r="R98" i="1"/>
  <c r="Q98" i="1"/>
  <c r="P98" i="1"/>
  <c r="O98" i="1"/>
  <c r="M98" i="1"/>
  <c r="N98" i="1" s="1"/>
  <c r="H98" i="1"/>
  <c r="F98" i="1"/>
  <c r="R97" i="1"/>
  <c r="Q97" i="1"/>
  <c r="P97" i="1"/>
  <c r="O97" i="1"/>
  <c r="M97" i="1"/>
  <c r="N97" i="1" s="1"/>
  <c r="H97" i="1"/>
  <c r="F97" i="1"/>
  <c r="J97" i="1" s="1"/>
  <c r="R96" i="1"/>
  <c r="Q96" i="1"/>
  <c r="P96" i="1"/>
  <c r="O96" i="1"/>
  <c r="M96" i="1"/>
  <c r="N96" i="1" s="1"/>
  <c r="H96" i="1"/>
  <c r="F96" i="1"/>
  <c r="R95" i="1"/>
  <c r="Q95" i="1"/>
  <c r="P95" i="1"/>
  <c r="O95" i="1"/>
  <c r="M95" i="1"/>
  <c r="N95" i="1" s="1"/>
  <c r="H95" i="1"/>
  <c r="F95" i="1"/>
  <c r="R94" i="1"/>
  <c r="Q94" i="1"/>
  <c r="P94" i="1"/>
  <c r="O94" i="1"/>
  <c r="M94" i="1"/>
  <c r="N94" i="1" s="1"/>
  <c r="H94" i="1"/>
  <c r="F94" i="1"/>
  <c r="I94" i="1" s="1"/>
  <c r="R93" i="1"/>
  <c r="Q93" i="1"/>
  <c r="P93" i="1"/>
  <c r="O93" i="1"/>
  <c r="M93" i="1"/>
  <c r="N93" i="1" s="1"/>
  <c r="H93" i="1"/>
  <c r="F93" i="1"/>
  <c r="J93" i="1" s="1"/>
  <c r="R92" i="1"/>
  <c r="Q92" i="1"/>
  <c r="P92" i="1"/>
  <c r="O92" i="1"/>
  <c r="M92" i="1"/>
  <c r="N92" i="1" s="1"/>
  <c r="H92" i="1"/>
  <c r="F92" i="1"/>
  <c r="I92" i="1" s="1"/>
  <c r="R91" i="1"/>
  <c r="Q91" i="1"/>
  <c r="P91" i="1"/>
  <c r="O91" i="1"/>
  <c r="M91" i="1"/>
  <c r="N91" i="1" s="1"/>
  <c r="H91" i="1"/>
  <c r="F91" i="1"/>
  <c r="J91" i="1" s="1"/>
  <c r="R90" i="1"/>
  <c r="Q90" i="1"/>
  <c r="P90" i="1"/>
  <c r="O90" i="1"/>
  <c r="M90" i="1"/>
  <c r="N90" i="1" s="1"/>
  <c r="H90" i="1"/>
  <c r="F90" i="1"/>
  <c r="R89" i="1"/>
  <c r="Q89" i="1"/>
  <c r="P89" i="1"/>
  <c r="O89" i="1"/>
  <c r="M89" i="1"/>
  <c r="N89" i="1" s="1"/>
  <c r="H89" i="1"/>
  <c r="F89" i="1"/>
  <c r="K89" i="1" s="1"/>
  <c r="R88" i="1"/>
  <c r="Q88" i="1"/>
  <c r="P88" i="1"/>
  <c r="O88" i="1"/>
  <c r="M88" i="1"/>
  <c r="N88" i="1" s="1"/>
  <c r="H88" i="1"/>
  <c r="F88" i="1"/>
  <c r="R87" i="1"/>
  <c r="Q87" i="1"/>
  <c r="P87" i="1"/>
  <c r="O87" i="1"/>
  <c r="M87" i="1"/>
  <c r="N87" i="1" s="1"/>
  <c r="H87" i="1"/>
  <c r="F87" i="1"/>
  <c r="J87" i="1" s="1"/>
  <c r="R86" i="1"/>
  <c r="Q86" i="1"/>
  <c r="P86" i="1"/>
  <c r="O86" i="1"/>
  <c r="M86" i="1"/>
  <c r="N86" i="1" s="1"/>
  <c r="H86" i="1"/>
  <c r="F86" i="1"/>
  <c r="I86" i="1" s="1"/>
  <c r="R85" i="1"/>
  <c r="Q85" i="1"/>
  <c r="P85" i="1"/>
  <c r="O85" i="1"/>
  <c r="M85" i="1"/>
  <c r="N85" i="1" s="1"/>
  <c r="H85" i="1"/>
  <c r="F85" i="1"/>
  <c r="K85" i="1" s="1"/>
  <c r="R84" i="1"/>
  <c r="Q84" i="1"/>
  <c r="P84" i="1"/>
  <c r="O84" i="1"/>
  <c r="M84" i="1"/>
  <c r="N84" i="1" s="1"/>
  <c r="H84" i="1"/>
  <c r="F84" i="1"/>
  <c r="I84" i="1" s="1"/>
  <c r="R83" i="1"/>
  <c r="Q83" i="1"/>
  <c r="P83" i="1"/>
  <c r="O83" i="1"/>
  <c r="M83" i="1"/>
  <c r="N83" i="1" s="1"/>
  <c r="H83" i="1"/>
  <c r="F83" i="1"/>
  <c r="R82" i="1"/>
  <c r="Q82" i="1"/>
  <c r="P82" i="1"/>
  <c r="O82" i="1"/>
  <c r="M82" i="1"/>
  <c r="N82" i="1" s="1"/>
  <c r="H82" i="1"/>
  <c r="F82" i="1"/>
  <c r="R81" i="1"/>
  <c r="Q81" i="1"/>
  <c r="P81" i="1"/>
  <c r="O81" i="1"/>
  <c r="M81" i="1"/>
  <c r="N81" i="1" s="1"/>
  <c r="H81" i="1"/>
  <c r="F81" i="1"/>
  <c r="J81" i="1" s="1"/>
  <c r="R80" i="1"/>
  <c r="Q80" i="1"/>
  <c r="P80" i="1"/>
  <c r="O80" i="1"/>
  <c r="M80" i="1"/>
  <c r="N80" i="1" s="1"/>
  <c r="H80" i="1"/>
  <c r="F80" i="1"/>
  <c r="R79" i="1"/>
  <c r="Q79" i="1"/>
  <c r="P79" i="1"/>
  <c r="O79" i="1"/>
  <c r="M79" i="1"/>
  <c r="N79" i="1" s="1"/>
  <c r="H79" i="1"/>
  <c r="F79" i="1"/>
  <c r="K79" i="1" s="1"/>
  <c r="R78" i="1"/>
  <c r="Q78" i="1"/>
  <c r="P78" i="1"/>
  <c r="O78" i="1"/>
  <c r="M78" i="1"/>
  <c r="N78" i="1" s="1"/>
  <c r="H78" i="1"/>
  <c r="F78" i="1"/>
  <c r="I78" i="1" s="1"/>
  <c r="R77" i="1"/>
  <c r="Q77" i="1"/>
  <c r="P77" i="1"/>
  <c r="O77" i="1"/>
  <c r="M77" i="1"/>
  <c r="N77" i="1" s="1"/>
  <c r="H77" i="1"/>
  <c r="F77" i="1"/>
  <c r="K77" i="1" s="1"/>
  <c r="R76" i="1"/>
  <c r="Q76" i="1"/>
  <c r="P76" i="1"/>
  <c r="O76" i="1"/>
  <c r="M76" i="1"/>
  <c r="N76" i="1" s="1"/>
  <c r="H76" i="1"/>
  <c r="F76" i="1"/>
  <c r="I76" i="1" s="1"/>
  <c r="R75" i="1"/>
  <c r="Q75" i="1"/>
  <c r="P75" i="1"/>
  <c r="O75" i="1"/>
  <c r="M75" i="1"/>
  <c r="N75" i="1" s="1"/>
  <c r="H75" i="1"/>
  <c r="F75" i="1"/>
  <c r="I75" i="1" s="1"/>
  <c r="R74" i="1"/>
  <c r="Q74" i="1"/>
  <c r="P74" i="1"/>
  <c r="O74" i="1"/>
  <c r="M74" i="1"/>
  <c r="N74" i="1" s="1"/>
  <c r="H74" i="1"/>
  <c r="F74" i="1"/>
  <c r="R73" i="1"/>
  <c r="Q73" i="1"/>
  <c r="P73" i="1"/>
  <c r="O73" i="1"/>
  <c r="M73" i="1"/>
  <c r="N73" i="1" s="1"/>
  <c r="H73" i="1"/>
  <c r="F73" i="1"/>
  <c r="P72" i="1"/>
  <c r="O72" i="1"/>
  <c r="M72" i="1"/>
  <c r="N72" i="1" s="1"/>
  <c r="H72" i="1"/>
  <c r="F72" i="1"/>
  <c r="P71" i="1"/>
  <c r="O71" i="1"/>
  <c r="M71" i="1"/>
  <c r="N71" i="1" s="1"/>
  <c r="H71" i="1"/>
  <c r="F71" i="1"/>
  <c r="P70" i="1"/>
  <c r="O70" i="1"/>
  <c r="M70" i="1"/>
  <c r="N70" i="1" s="1"/>
  <c r="H70" i="1"/>
  <c r="F70" i="1"/>
  <c r="P69" i="1"/>
  <c r="O69" i="1"/>
  <c r="M69" i="1"/>
  <c r="N69" i="1" s="1"/>
  <c r="H69" i="1"/>
  <c r="F69" i="1"/>
  <c r="P68" i="1"/>
  <c r="O68" i="1"/>
  <c r="M68" i="1"/>
  <c r="N68" i="1" s="1"/>
  <c r="H68" i="1"/>
  <c r="F68" i="1"/>
  <c r="P67" i="1"/>
  <c r="O67" i="1"/>
  <c r="M67" i="1"/>
  <c r="N67" i="1" s="1"/>
  <c r="H67" i="1"/>
  <c r="F67" i="1"/>
  <c r="P66" i="1"/>
  <c r="O66" i="1"/>
  <c r="M66" i="1"/>
  <c r="N66" i="1" s="1"/>
  <c r="H66" i="1"/>
  <c r="F66" i="1"/>
  <c r="P65" i="1"/>
  <c r="O65" i="1"/>
  <c r="M65" i="1"/>
  <c r="N65" i="1" s="1"/>
  <c r="H65" i="1"/>
  <c r="F65" i="1"/>
  <c r="P64" i="1"/>
  <c r="O64" i="1"/>
  <c r="M64" i="1"/>
  <c r="N64" i="1" s="1"/>
  <c r="H64" i="1"/>
  <c r="F64" i="1"/>
  <c r="P63" i="1"/>
  <c r="O63" i="1"/>
  <c r="M63" i="1"/>
  <c r="N63" i="1" s="1"/>
  <c r="H63" i="1"/>
  <c r="F63" i="1"/>
  <c r="P62" i="1"/>
  <c r="O62" i="1"/>
  <c r="M62" i="1"/>
  <c r="N62" i="1" s="1"/>
  <c r="H62" i="1"/>
  <c r="F62" i="1"/>
  <c r="P61" i="1"/>
  <c r="O61" i="1"/>
  <c r="M61" i="1"/>
  <c r="N61" i="1" s="1"/>
  <c r="H61" i="1"/>
  <c r="F61" i="1"/>
  <c r="P60" i="1"/>
  <c r="O60" i="1"/>
  <c r="M60" i="1"/>
  <c r="N60" i="1" s="1"/>
  <c r="H60" i="1"/>
  <c r="F60" i="1"/>
  <c r="P59" i="1"/>
  <c r="O59" i="1"/>
  <c r="M59" i="1"/>
  <c r="N59" i="1" s="1"/>
  <c r="H59" i="1"/>
  <c r="F59" i="1"/>
  <c r="P58" i="1"/>
  <c r="O58" i="1"/>
  <c r="M58" i="1"/>
  <c r="N58" i="1" s="1"/>
  <c r="H58" i="1"/>
  <c r="F58" i="1"/>
  <c r="P57" i="1"/>
  <c r="O57" i="1"/>
  <c r="M57" i="1"/>
  <c r="N57" i="1" s="1"/>
  <c r="H57" i="1"/>
  <c r="F57" i="1"/>
  <c r="P56" i="1"/>
  <c r="O56" i="1"/>
  <c r="M56" i="1"/>
  <c r="N56" i="1" s="1"/>
  <c r="H56" i="1"/>
  <c r="F56" i="1"/>
  <c r="P55" i="1"/>
  <c r="M55" i="1"/>
  <c r="N55" i="1" s="1"/>
  <c r="H55" i="1"/>
  <c r="F55" i="1"/>
  <c r="P53" i="1"/>
  <c r="O53" i="1"/>
  <c r="M53" i="1"/>
  <c r="N53" i="1" s="1"/>
  <c r="H53" i="1"/>
  <c r="F53" i="1"/>
  <c r="P52" i="1"/>
  <c r="O52" i="1"/>
  <c r="M52" i="1"/>
  <c r="N52" i="1" s="1"/>
  <c r="H52" i="1"/>
  <c r="F52" i="1"/>
  <c r="P51" i="1"/>
  <c r="O51" i="1"/>
  <c r="M51" i="1"/>
  <c r="N51" i="1" s="1"/>
  <c r="H51" i="1"/>
  <c r="F51" i="1"/>
  <c r="P50" i="1"/>
  <c r="M50" i="1"/>
  <c r="N50" i="1" s="1"/>
  <c r="H50" i="1"/>
  <c r="F50" i="1"/>
  <c r="P49" i="1"/>
  <c r="O49" i="1"/>
  <c r="M49" i="1"/>
  <c r="N49" i="1" s="1"/>
  <c r="H49" i="1"/>
  <c r="F49" i="1"/>
  <c r="P48" i="1"/>
  <c r="O48" i="1"/>
  <c r="M48" i="1"/>
  <c r="N48" i="1" s="1"/>
  <c r="H48" i="1"/>
  <c r="F48" i="1"/>
  <c r="P47" i="1"/>
  <c r="O47" i="1"/>
  <c r="M47" i="1"/>
  <c r="N47" i="1" s="1"/>
  <c r="H47" i="1"/>
  <c r="F47" i="1"/>
  <c r="P46" i="1"/>
  <c r="O46" i="1"/>
  <c r="M46" i="1"/>
  <c r="N46" i="1" s="1"/>
  <c r="H46" i="1"/>
  <c r="F46" i="1"/>
  <c r="P45" i="1"/>
  <c r="O45" i="1"/>
  <c r="M45" i="1"/>
  <c r="N45" i="1" s="1"/>
  <c r="H45" i="1"/>
  <c r="F45" i="1"/>
  <c r="P44" i="1"/>
  <c r="O44" i="1"/>
  <c r="M44" i="1"/>
  <c r="N44" i="1" s="1"/>
  <c r="H44" i="1"/>
  <c r="F44" i="1"/>
  <c r="P43" i="1"/>
  <c r="O43" i="1"/>
  <c r="M43" i="1"/>
  <c r="N43" i="1" s="1"/>
  <c r="H43" i="1"/>
  <c r="F43" i="1"/>
  <c r="P42" i="1"/>
  <c r="O42" i="1"/>
  <c r="M42" i="1"/>
  <c r="N42" i="1" s="1"/>
  <c r="H42" i="1"/>
  <c r="F42" i="1"/>
  <c r="P41" i="1"/>
  <c r="O41" i="1"/>
  <c r="M41" i="1"/>
  <c r="N41" i="1" s="1"/>
  <c r="H41" i="1"/>
  <c r="F41" i="1"/>
  <c r="P40" i="1"/>
  <c r="O40" i="1"/>
  <c r="M40" i="1"/>
  <c r="N40" i="1" s="1"/>
  <c r="H40" i="1"/>
  <c r="F40" i="1"/>
  <c r="P39" i="1"/>
  <c r="O39" i="1"/>
  <c r="N39" i="1"/>
  <c r="H39" i="1"/>
  <c r="F39" i="1"/>
  <c r="P38" i="1"/>
  <c r="O38" i="1"/>
  <c r="M38" i="1"/>
  <c r="N38" i="1" s="1"/>
  <c r="H38" i="1"/>
  <c r="F38" i="1"/>
  <c r="P37" i="1"/>
  <c r="O37" i="1"/>
  <c r="M37" i="1"/>
  <c r="N37" i="1" s="1"/>
  <c r="H37" i="1"/>
  <c r="F37" i="1"/>
  <c r="P36" i="1"/>
  <c r="O36" i="1"/>
  <c r="M36" i="1"/>
  <c r="N36" i="1" s="1"/>
  <c r="H36" i="1"/>
  <c r="F36" i="1"/>
  <c r="P35" i="1"/>
  <c r="O35" i="1"/>
  <c r="M35" i="1"/>
  <c r="N35" i="1" s="1"/>
  <c r="H35" i="1"/>
  <c r="F35" i="1"/>
  <c r="P34" i="1"/>
  <c r="O34" i="1"/>
  <c r="M34" i="1"/>
  <c r="N34" i="1" s="1"/>
  <c r="H34" i="1"/>
  <c r="F34" i="1"/>
  <c r="P33" i="1"/>
  <c r="O33" i="1"/>
  <c r="M33" i="1"/>
  <c r="N33" i="1" s="1"/>
  <c r="H33" i="1"/>
  <c r="F33" i="1"/>
  <c r="P32" i="1"/>
  <c r="O32" i="1"/>
  <c r="M32" i="1"/>
  <c r="N32" i="1" s="1"/>
  <c r="H32" i="1"/>
  <c r="F32" i="1"/>
  <c r="P31" i="1"/>
  <c r="O31" i="1"/>
  <c r="M31" i="1"/>
  <c r="N31" i="1" s="1"/>
  <c r="H31" i="1"/>
  <c r="F31" i="1"/>
  <c r="P30" i="1"/>
  <c r="O30" i="1"/>
  <c r="M30" i="1"/>
  <c r="N30" i="1" s="1"/>
  <c r="H30" i="1"/>
  <c r="P29" i="1"/>
  <c r="O29" i="1"/>
  <c r="M29" i="1"/>
  <c r="N29" i="1" s="1"/>
  <c r="H29" i="1"/>
  <c r="F29" i="1"/>
  <c r="P28" i="1"/>
  <c r="O28" i="1"/>
  <c r="M28" i="1"/>
  <c r="N28" i="1" s="1"/>
  <c r="H28" i="1"/>
  <c r="F28" i="1"/>
  <c r="P27" i="1"/>
  <c r="O27" i="1"/>
  <c r="M27" i="1"/>
  <c r="N27" i="1" s="1"/>
  <c r="H27" i="1"/>
  <c r="F27" i="1"/>
  <c r="P26" i="1"/>
  <c r="O26" i="1"/>
  <c r="M26" i="1"/>
  <c r="N26" i="1" s="1"/>
  <c r="H26" i="1"/>
  <c r="F26" i="1"/>
  <c r="P25" i="1"/>
  <c r="O25" i="1"/>
  <c r="M25" i="1"/>
  <c r="N25" i="1" s="1"/>
  <c r="H25" i="1"/>
  <c r="F25" i="1"/>
  <c r="P24" i="1"/>
  <c r="O24" i="1"/>
  <c r="M24" i="1"/>
  <c r="N24" i="1" s="1"/>
  <c r="H24" i="1"/>
  <c r="F24" i="1"/>
  <c r="P23" i="1"/>
  <c r="O23" i="1"/>
  <c r="M23" i="1"/>
  <c r="N23" i="1" s="1"/>
  <c r="H23" i="1"/>
  <c r="F23" i="1"/>
  <c r="P22" i="1"/>
  <c r="O22" i="1"/>
  <c r="M22" i="1"/>
  <c r="N22" i="1" s="1"/>
  <c r="H22" i="1"/>
  <c r="F22" i="1"/>
  <c r="P21" i="1"/>
  <c r="O21" i="1"/>
  <c r="M21" i="1"/>
  <c r="N21" i="1" s="1"/>
  <c r="H21" i="1"/>
  <c r="F21" i="1"/>
  <c r="P20" i="1"/>
  <c r="M20" i="1"/>
  <c r="N20" i="1" s="1"/>
  <c r="H20" i="1"/>
  <c r="F20" i="1"/>
  <c r="P19" i="1"/>
  <c r="O19" i="1"/>
  <c r="M19" i="1"/>
  <c r="N19" i="1" s="1"/>
  <c r="H19" i="1"/>
  <c r="F19" i="1"/>
  <c r="P18" i="1"/>
  <c r="O18" i="1"/>
  <c r="M18" i="1"/>
  <c r="N18" i="1" s="1"/>
  <c r="H18" i="1"/>
  <c r="I18" i="1" s="1"/>
  <c r="P17" i="1"/>
  <c r="O17" i="1"/>
  <c r="M17" i="1"/>
  <c r="N17" i="1" s="1"/>
  <c r="H17" i="1"/>
  <c r="F17" i="1"/>
  <c r="P16" i="1"/>
  <c r="O16" i="1"/>
  <c r="M16" i="1"/>
  <c r="N16" i="1" s="1"/>
  <c r="H16" i="1"/>
  <c r="F16" i="1"/>
  <c r="P15" i="1"/>
  <c r="O15" i="1"/>
  <c r="M15" i="1"/>
  <c r="N15" i="1" s="1"/>
  <c r="H15" i="1"/>
  <c r="F15" i="1"/>
  <c r="P14" i="1"/>
  <c r="O14" i="1"/>
  <c r="M14" i="1"/>
  <c r="N14" i="1" s="1"/>
  <c r="H14" i="1"/>
  <c r="F14" i="1"/>
  <c r="P13" i="1"/>
  <c r="O13" i="1"/>
  <c r="M13" i="1"/>
  <c r="N13" i="1" s="1"/>
  <c r="H13" i="1"/>
  <c r="F13" i="1"/>
  <c r="P12" i="1"/>
  <c r="O12" i="1"/>
  <c r="M12" i="1"/>
  <c r="N12" i="1" s="1"/>
  <c r="H12" i="1"/>
  <c r="F12" i="1"/>
  <c r="P11" i="1"/>
  <c r="O11" i="1"/>
  <c r="M11" i="1"/>
  <c r="N11" i="1" s="1"/>
  <c r="H11" i="1"/>
  <c r="F11" i="1"/>
  <c r="P10" i="1"/>
  <c r="O10" i="1"/>
  <c r="M10" i="1"/>
  <c r="N10" i="1" s="1"/>
  <c r="H10" i="1"/>
  <c r="F10" i="1"/>
  <c r="P9" i="1"/>
  <c r="O9" i="1"/>
  <c r="M9" i="1"/>
  <c r="N9" i="1" s="1"/>
  <c r="H9" i="1"/>
  <c r="F9" i="1"/>
  <c r="P8" i="1"/>
  <c r="O8" i="1"/>
  <c r="M8" i="1"/>
  <c r="N8" i="1" s="1"/>
  <c r="H8" i="1"/>
  <c r="F8" i="1"/>
  <c r="P7" i="1"/>
  <c r="O7" i="1"/>
  <c r="M7" i="1"/>
  <c r="N7" i="1" s="1"/>
  <c r="H7" i="1"/>
  <c r="F7" i="1"/>
  <c r="P6" i="1"/>
  <c r="O6" i="1"/>
  <c r="M6" i="1"/>
  <c r="N6" i="1" s="1"/>
  <c r="H6" i="1"/>
  <c r="F6" i="1"/>
  <c r="P5" i="1"/>
  <c r="O5" i="1"/>
  <c r="M5" i="1"/>
  <c r="N5" i="1" s="1"/>
  <c r="H5" i="1"/>
  <c r="F5" i="1"/>
  <c r="P4" i="1"/>
  <c r="O4" i="1"/>
  <c r="M4" i="1"/>
  <c r="N4" i="1" s="1"/>
  <c r="H4" i="1"/>
  <c r="F4" i="1"/>
  <c r="I60" i="1" l="1"/>
  <c r="J185" i="1"/>
  <c r="I45" i="1"/>
  <c r="I52" i="1"/>
  <c r="I17" i="1"/>
  <c r="J17" i="1" s="1"/>
  <c r="I71" i="1"/>
  <c r="J71" i="1" s="1"/>
  <c r="K71" i="1" s="1"/>
  <c r="Q71" i="1" s="1"/>
  <c r="R71" i="1" s="1"/>
  <c r="I70" i="1"/>
  <c r="J70" i="1" s="1"/>
  <c r="K70" i="1" s="1"/>
  <c r="Q70" i="1" s="1"/>
  <c r="R70" i="1" s="1"/>
  <c r="I68" i="1"/>
  <c r="J68" i="1" s="1"/>
  <c r="K68" i="1" s="1"/>
  <c r="Q68" i="1" s="1"/>
  <c r="R68" i="1" s="1"/>
  <c r="I62" i="1"/>
  <c r="I47" i="1"/>
  <c r="J47" i="1" s="1"/>
  <c r="K47" i="1" s="1"/>
  <c r="Q47" i="1" s="1"/>
  <c r="R47" i="1" s="1"/>
  <c r="I44" i="1"/>
  <c r="J44" i="1" s="1"/>
  <c r="K44" i="1" s="1"/>
  <c r="Q44" i="1" s="1"/>
  <c r="R44" i="1" s="1"/>
  <c r="I29" i="1"/>
  <c r="I22" i="1"/>
  <c r="J22" i="1" s="1"/>
  <c r="K22" i="1" s="1"/>
  <c r="Q22" i="1" s="1"/>
  <c r="R22" i="1" s="1"/>
  <c r="I113" i="1"/>
  <c r="C15" i="3"/>
  <c r="I42" i="1"/>
  <c r="J42" i="1" s="1"/>
  <c r="I40" i="1"/>
  <c r="J40" i="1" s="1"/>
  <c r="D85" i="2" s="1"/>
  <c r="C19" i="3"/>
  <c r="I32" i="1"/>
  <c r="J32" i="1" s="1"/>
  <c r="K32" i="1" s="1"/>
  <c r="Q32" i="1" s="1"/>
  <c r="R32" i="1" s="1"/>
  <c r="I34" i="1"/>
  <c r="J34" i="1" s="1"/>
  <c r="K34" i="1" s="1"/>
  <c r="Q34" i="1" s="1"/>
  <c r="R34" i="1" s="1"/>
  <c r="I38" i="1"/>
  <c r="J38" i="1" s="1"/>
  <c r="K38" i="1" s="1"/>
  <c r="Q38" i="1" s="1"/>
  <c r="R38" i="1" s="1"/>
  <c r="I26" i="1"/>
  <c r="J26" i="1" s="1"/>
  <c r="C14" i="3"/>
  <c r="C16" i="3"/>
  <c r="C18" i="3"/>
  <c r="I16" i="1"/>
  <c r="J16" i="1" s="1"/>
  <c r="K16" i="1" s="1"/>
  <c r="Q16" i="1" s="1"/>
  <c r="R16" i="1" s="1"/>
  <c r="C20" i="3"/>
  <c r="J216" i="1"/>
  <c r="K266" i="1"/>
  <c r="J109" i="1"/>
  <c r="K274" i="1"/>
  <c r="I129" i="1"/>
  <c r="K280" i="1"/>
  <c r="I167" i="1"/>
  <c r="I20" i="1"/>
  <c r="J20" i="1" s="1"/>
  <c r="K20" i="1" s="1"/>
  <c r="Q20" i="1" s="1"/>
  <c r="R20" i="1" s="1"/>
  <c r="K171" i="1"/>
  <c r="J193" i="1"/>
  <c r="I288" i="1"/>
  <c r="I61" i="1"/>
  <c r="J61" i="1" s="1"/>
  <c r="K61" i="1" s="1"/>
  <c r="Q61" i="1" s="1"/>
  <c r="R61" i="1" s="1"/>
  <c r="K129" i="1"/>
  <c r="J224" i="1"/>
  <c r="J143" i="1"/>
  <c r="J242" i="1"/>
  <c r="K81" i="1"/>
  <c r="J248" i="1"/>
  <c r="I31" i="1"/>
  <c r="J31" i="1" s="1"/>
  <c r="K31" i="1" s="1"/>
  <c r="Q31" i="1" s="1"/>
  <c r="R31" i="1" s="1"/>
  <c r="K93" i="1"/>
  <c r="K113" i="1"/>
  <c r="K193" i="1"/>
  <c r="K259" i="1"/>
  <c r="J147" i="1"/>
  <c r="J210" i="1"/>
  <c r="I50" i="1"/>
  <c r="J50" i="1" s="1"/>
  <c r="K50" i="1" s="1"/>
  <c r="Q50" i="1" s="1"/>
  <c r="R50" i="1" s="1"/>
  <c r="I81" i="1"/>
  <c r="K153" i="1"/>
  <c r="J213" i="1"/>
  <c r="J175" i="1"/>
  <c r="J201" i="1"/>
  <c r="J132" i="1"/>
  <c r="J117" i="1"/>
  <c r="K132" i="1"/>
  <c r="K175" i="1"/>
  <c r="K201" i="1"/>
  <c r="K216" i="1"/>
  <c r="K248" i="1"/>
  <c r="J274" i="1"/>
  <c r="K288" i="1"/>
  <c r="I41" i="1"/>
  <c r="J41" i="1" s="1"/>
  <c r="I296" i="1"/>
  <c r="I103" i="1"/>
  <c r="J103" i="1"/>
  <c r="K224" i="1"/>
  <c r="I256" i="1"/>
  <c r="J296" i="1"/>
  <c r="J139" i="1"/>
  <c r="J178" i="1"/>
  <c r="K75" i="1"/>
  <c r="I93" i="1"/>
  <c r="K167" i="1"/>
  <c r="K185" i="1"/>
  <c r="I207" i="1"/>
  <c r="K229" i="1"/>
  <c r="J256" i="1"/>
  <c r="K277" i="1"/>
  <c r="K107" i="1"/>
  <c r="J171" i="1"/>
  <c r="K188" i="1"/>
  <c r="K207" i="1"/>
  <c r="K235" i="1"/>
  <c r="I280" i="1"/>
  <c r="K299" i="1"/>
  <c r="I46" i="1"/>
  <c r="J46" i="1" s="1"/>
  <c r="K46" i="1" s="1"/>
  <c r="Q46" i="1" s="1"/>
  <c r="R46" i="1" s="1"/>
  <c r="I53" i="1"/>
  <c r="J53" i="1" s="1"/>
  <c r="K53" i="1" s="1"/>
  <c r="Q53" i="1" s="1"/>
  <c r="R53" i="1" s="1"/>
  <c r="J75" i="1"/>
  <c r="I109" i="1"/>
  <c r="I117" i="1"/>
  <c r="I143" i="1"/>
  <c r="J153" i="1"/>
  <c r="J188" i="1"/>
  <c r="K210" i="1"/>
  <c r="J266" i="1"/>
  <c r="K178" i="1"/>
  <c r="K242" i="1"/>
  <c r="I77" i="1"/>
  <c r="I85" i="1"/>
  <c r="K158" i="1"/>
  <c r="I232" i="1"/>
  <c r="J243" i="1"/>
  <c r="J232" i="1"/>
  <c r="J77" i="1"/>
  <c r="J85" i="1"/>
  <c r="J107" i="1"/>
  <c r="K147" i="1"/>
  <c r="J235" i="1"/>
  <c r="J259" i="1"/>
  <c r="J277" i="1"/>
  <c r="J299" i="1"/>
  <c r="J148" i="1"/>
  <c r="K165" i="1"/>
  <c r="I15" i="1"/>
  <c r="J15" i="1" s="1"/>
  <c r="K148" i="1"/>
  <c r="I27" i="1"/>
  <c r="J27" i="1" s="1"/>
  <c r="K27" i="1" s="1"/>
  <c r="Q27" i="1" s="1"/>
  <c r="R27" i="1" s="1"/>
  <c r="I21" i="1"/>
  <c r="J21" i="1" s="1"/>
  <c r="K21" i="1" s="1"/>
  <c r="Q21" i="1" s="1"/>
  <c r="R21" i="1" s="1"/>
  <c r="K87" i="1"/>
  <c r="K97" i="1"/>
  <c r="K119" i="1"/>
  <c r="K173" i="1"/>
  <c r="J173" i="1"/>
  <c r="K191" i="1"/>
  <c r="I186" i="1"/>
  <c r="K186" i="1"/>
  <c r="J186" i="1"/>
  <c r="K209" i="1"/>
  <c r="J209" i="1"/>
  <c r="I209" i="1"/>
  <c r="I234" i="1"/>
  <c r="J234" i="1"/>
  <c r="I258" i="1"/>
  <c r="K258" i="1"/>
  <c r="J258" i="1"/>
  <c r="I33" i="1"/>
  <c r="J33" i="1" s="1"/>
  <c r="K33" i="1" s="1"/>
  <c r="Q33" i="1" s="1"/>
  <c r="R33" i="1" s="1"/>
  <c r="I63" i="1"/>
  <c r="J63" i="1" s="1"/>
  <c r="K63" i="1" s="1"/>
  <c r="Q63" i="1" s="1"/>
  <c r="R63" i="1" s="1"/>
  <c r="J95" i="1"/>
  <c r="I95" i="1"/>
  <c r="I131" i="1"/>
  <c r="K131" i="1"/>
  <c r="J131" i="1"/>
  <c r="I204" i="1"/>
  <c r="K204" i="1"/>
  <c r="I11" i="1"/>
  <c r="J11" i="1" s="1"/>
  <c r="D63" i="2" s="1"/>
  <c r="I51" i="1"/>
  <c r="J51" i="1" s="1"/>
  <c r="K51" i="1" s="1"/>
  <c r="Q51" i="1" s="1"/>
  <c r="R51" i="1" s="1"/>
  <c r="I59" i="1"/>
  <c r="J59" i="1" s="1"/>
  <c r="K59" i="1" s="1"/>
  <c r="Q59" i="1" s="1"/>
  <c r="R59" i="1" s="1"/>
  <c r="J73" i="1"/>
  <c r="I73" i="1"/>
  <c r="J83" i="1"/>
  <c r="I83" i="1"/>
  <c r="I91" i="1"/>
  <c r="J105" i="1"/>
  <c r="I105" i="1"/>
  <c r="J115" i="1"/>
  <c r="I115" i="1"/>
  <c r="J123" i="1"/>
  <c r="I145" i="1"/>
  <c r="J150" i="1"/>
  <c r="K151" i="1"/>
  <c r="I151" i="1"/>
  <c r="J155" i="1"/>
  <c r="I161" i="1"/>
  <c r="J169" i="1"/>
  <c r="I169" i="1"/>
  <c r="J180" i="1"/>
  <c r="J183" i="1"/>
  <c r="I183" i="1"/>
  <c r="J196" i="1"/>
  <c r="J218" i="1"/>
  <c r="J226" i="1"/>
  <c r="I227" i="1"/>
  <c r="K227" i="1"/>
  <c r="J227" i="1"/>
  <c r="K234" i="1"/>
  <c r="J250" i="1"/>
  <c r="I251" i="1"/>
  <c r="K251" i="1"/>
  <c r="J251" i="1"/>
  <c r="J269" i="1"/>
  <c r="J272" i="1"/>
  <c r="I272" i="1"/>
  <c r="I298" i="1"/>
  <c r="K298" i="1"/>
  <c r="J298" i="1"/>
  <c r="K123" i="1"/>
  <c r="J145" i="1"/>
  <c r="K150" i="1"/>
  <c r="K155" i="1"/>
  <c r="J161" i="1"/>
  <c r="K180" i="1"/>
  <c r="K196" i="1"/>
  <c r="K218" i="1"/>
  <c r="K226" i="1"/>
  <c r="K250" i="1"/>
  <c r="K269" i="1"/>
  <c r="I39" i="1"/>
  <c r="J39" i="1" s="1"/>
  <c r="I69" i="1"/>
  <c r="J69" i="1" s="1"/>
  <c r="K69" i="1" s="1"/>
  <c r="Q69" i="1" s="1"/>
  <c r="R69" i="1" s="1"/>
  <c r="K73" i="1"/>
  <c r="K83" i="1"/>
  <c r="K91" i="1"/>
  <c r="I101" i="1"/>
  <c r="K105" i="1"/>
  <c r="K115" i="1"/>
  <c r="J124" i="1"/>
  <c r="I126" i="1"/>
  <c r="K126" i="1"/>
  <c r="J126" i="1"/>
  <c r="K139" i="1"/>
  <c r="J151" i="1"/>
  <c r="J156" i="1"/>
  <c r="K169" i="1"/>
  <c r="K183" i="1"/>
  <c r="J199" i="1"/>
  <c r="I199" i="1"/>
  <c r="J212" i="1"/>
  <c r="J219" i="1"/>
  <c r="K243" i="1"/>
  <c r="I245" i="1"/>
  <c r="K245" i="1"/>
  <c r="K272" i="1"/>
  <c r="J290" i="1"/>
  <c r="I293" i="1"/>
  <c r="K293" i="1"/>
  <c r="J293" i="1"/>
  <c r="I13" i="1"/>
  <c r="J13" i="1" s="1"/>
  <c r="I19" i="1"/>
  <c r="J19" i="1" s="1"/>
  <c r="K19" i="1" s="1"/>
  <c r="Q19" i="1" s="1"/>
  <c r="R19" i="1" s="1"/>
  <c r="I25" i="1"/>
  <c r="J25" i="1" s="1"/>
  <c r="K25" i="1" s="1"/>
  <c r="Q25" i="1" s="1"/>
  <c r="R25" i="1" s="1"/>
  <c r="J29" i="1"/>
  <c r="K29" i="1" s="1"/>
  <c r="Q29" i="1" s="1"/>
  <c r="R29" i="1" s="1"/>
  <c r="I35" i="1"/>
  <c r="J35" i="1" s="1"/>
  <c r="K35" i="1" s="1"/>
  <c r="Q35" i="1" s="1"/>
  <c r="R35" i="1" s="1"/>
  <c r="I48" i="1"/>
  <c r="J48" i="1" s="1"/>
  <c r="K48" i="1" s="1"/>
  <c r="Q48" i="1" s="1"/>
  <c r="R48" i="1" s="1"/>
  <c r="I55" i="1"/>
  <c r="J55" i="1" s="1"/>
  <c r="K55" i="1" s="1"/>
  <c r="Q55" i="1" s="1"/>
  <c r="R55" i="1" s="1"/>
  <c r="I65" i="1"/>
  <c r="J65" i="1" s="1"/>
  <c r="K65" i="1" s="1"/>
  <c r="Q65" i="1" s="1"/>
  <c r="R65" i="1" s="1"/>
  <c r="J79" i="1"/>
  <c r="I79" i="1"/>
  <c r="I87" i="1"/>
  <c r="I97" i="1"/>
  <c r="J101" i="1"/>
  <c r="J111" i="1"/>
  <c r="I111" i="1"/>
  <c r="I119" i="1"/>
  <c r="K124" i="1"/>
  <c r="J134" i="1"/>
  <c r="J140" i="1"/>
  <c r="I142" i="1"/>
  <c r="K142" i="1"/>
  <c r="J142" i="1"/>
  <c r="K156" i="1"/>
  <c r="J177" i="1"/>
  <c r="I177" i="1"/>
  <c r="I191" i="1"/>
  <c r="K212" i="1"/>
  <c r="K219" i="1"/>
  <c r="J261" i="1"/>
  <c r="J264" i="1"/>
  <c r="I264" i="1"/>
  <c r="J282" i="1"/>
  <c r="I283" i="1"/>
  <c r="K283" i="1"/>
  <c r="K290" i="1"/>
  <c r="K95" i="1"/>
  <c r="I23" i="1"/>
  <c r="J23" i="1" s="1"/>
  <c r="K23" i="1" s="1"/>
  <c r="Q23" i="1" s="1"/>
  <c r="R23" i="1" s="1"/>
  <c r="I14" i="1"/>
  <c r="J14" i="1" s="1"/>
  <c r="I37" i="1"/>
  <c r="J37" i="1" s="1"/>
  <c r="K37" i="1" s="1"/>
  <c r="Q37" i="1" s="1"/>
  <c r="R37" i="1" s="1"/>
  <c r="I57" i="1"/>
  <c r="J57" i="1" s="1"/>
  <c r="K57" i="1" s="1"/>
  <c r="Q57" i="1" s="1"/>
  <c r="R57" i="1" s="1"/>
  <c r="I67" i="1"/>
  <c r="J67" i="1" s="1"/>
  <c r="K67" i="1" s="1"/>
  <c r="Q67" i="1" s="1"/>
  <c r="R67" i="1" s="1"/>
  <c r="J89" i="1"/>
  <c r="I89" i="1"/>
  <c r="J99" i="1"/>
  <c r="I99" i="1"/>
  <c r="J121" i="1"/>
  <c r="I121" i="1"/>
  <c r="K134" i="1"/>
  <c r="K137" i="1"/>
  <c r="J137" i="1"/>
  <c r="K140" i="1"/>
  <c r="J158" i="1"/>
  <c r="K159" i="1"/>
  <c r="I159" i="1"/>
  <c r="J165" i="1"/>
  <c r="K199" i="1"/>
  <c r="I213" i="1"/>
  <c r="I214" i="1"/>
  <c r="K214" i="1"/>
  <c r="J214" i="1"/>
  <c r="J240" i="1"/>
  <c r="I240" i="1"/>
  <c r="K261" i="1"/>
  <c r="K282" i="1"/>
  <c r="I285" i="1"/>
  <c r="J285" i="1"/>
  <c r="I8" i="1"/>
  <c r="J8" i="1" s="1"/>
  <c r="K8" i="1" s="1"/>
  <c r="Q8" i="1" s="1"/>
  <c r="R8" i="1" s="1"/>
  <c r="I9" i="1"/>
  <c r="J9" i="1" s="1"/>
  <c r="K9" i="1" s="1"/>
  <c r="Q9" i="1" s="1"/>
  <c r="R9" i="1" s="1"/>
  <c r="I7" i="1"/>
  <c r="J7" i="1" s="1"/>
  <c r="K7" i="1" s="1"/>
  <c r="Q7" i="1" s="1"/>
  <c r="R7" i="1" s="1"/>
  <c r="I5" i="1"/>
  <c r="J5" i="1" s="1"/>
  <c r="K5" i="1" s="1"/>
  <c r="Q5" i="1" s="1"/>
  <c r="R5" i="1" s="1"/>
  <c r="I6" i="1"/>
  <c r="J6" i="1" s="1"/>
  <c r="K6" i="1" s="1"/>
  <c r="Q6" i="1" s="1"/>
  <c r="R6" i="1" s="1"/>
  <c r="C17" i="3"/>
  <c r="I12" i="1"/>
  <c r="J12" i="1" s="1"/>
  <c r="I130" i="1"/>
  <c r="K130" i="1"/>
  <c r="K254" i="1"/>
  <c r="J254" i="1"/>
  <c r="I254" i="1"/>
  <c r="K74" i="1"/>
  <c r="J74" i="1"/>
  <c r="K82" i="1"/>
  <c r="J82" i="1"/>
  <c r="K90" i="1"/>
  <c r="J90" i="1"/>
  <c r="K98" i="1"/>
  <c r="J98" i="1"/>
  <c r="K106" i="1"/>
  <c r="J106" i="1"/>
  <c r="K114" i="1"/>
  <c r="J114" i="1"/>
  <c r="I122" i="1"/>
  <c r="K122" i="1"/>
  <c r="I152" i="1"/>
  <c r="K152" i="1"/>
  <c r="J152" i="1"/>
  <c r="J160" i="1"/>
  <c r="I160" i="1"/>
  <c r="K160" i="1"/>
  <c r="K181" i="1"/>
  <c r="J181" i="1"/>
  <c r="I144" i="1"/>
  <c r="K144" i="1"/>
  <c r="J144" i="1"/>
  <c r="K197" i="1"/>
  <c r="J197" i="1"/>
  <c r="I202" i="1"/>
  <c r="K202" i="1"/>
  <c r="J202" i="1"/>
  <c r="I237" i="1"/>
  <c r="K237" i="1"/>
  <c r="I43" i="1"/>
  <c r="J43" i="1" s="1"/>
  <c r="K43" i="1" s="1"/>
  <c r="Q43" i="1" s="1"/>
  <c r="R43" i="1" s="1"/>
  <c r="K80" i="1"/>
  <c r="J80" i="1"/>
  <c r="I82" i="1"/>
  <c r="K88" i="1"/>
  <c r="J88" i="1"/>
  <c r="I90" i="1"/>
  <c r="K96" i="1"/>
  <c r="J96" i="1"/>
  <c r="I98" i="1"/>
  <c r="K104" i="1"/>
  <c r="J104" i="1"/>
  <c r="I106" i="1"/>
  <c r="K112" i="1"/>
  <c r="J112" i="1"/>
  <c r="I114" i="1"/>
  <c r="K120" i="1"/>
  <c r="J120" i="1"/>
  <c r="J122" i="1"/>
  <c r="I135" i="1"/>
  <c r="I136" i="1"/>
  <c r="K136" i="1"/>
  <c r="J136" i="1"/>
  <c r="J166" i="1"/>
  <c r="I166" i="1"/>
  <c r="K166" i="1"/>
  <c r="J170" i="1"/>
  <c r="I170" i="1"/>
  <c r="K170" i="1"/>
  <c r="J174" i="1"/>
  <c r="I174" i="1"/>
  <c r="K174" i="1"/>
  <c r="I181" i="1"/>
  <c r="K238" i="1"/>
  <c r="J238" i="1"/>
  <c r="I238" i="1"/>
  <c r="I58" i="1"/>
  <c r="J58" i="1" s="1"/>
  <c r="K58" i="1" s="1"/>
  <c r="Q58" i="1" s="1"/>
  <c r="R58" i="1" s="1"/>
  <c r="I66" i="1"/>
  <c r="J66" i="1" s="1"/>
  <c r="K66" i="1" s="1"/>
  <c r="Q66" i="1" s="1"/>
  <c r="R66" i="1" s="1"/>
  <c r="I74" i="1"/>
  <c r="I127" i="1"/>
  <c r="I221" i="1"/>
  <c r="K221" i="1"/>
  <c r="K270" i="1"/>
  <c r="J270" i="1"/>
  <c r="I36" i="1"/>
  <c r="J36" i="1" s="1"/>
  <c r="K36" i="1" s="1"/>
  <c r="Q36" i="1" s="1"/>
  <c r="R36" i="1" s="1"/>
  <c r="I4" i="1"/>
  <c r="J4" i="1" s="1"/>
  <c r="I128" i="1"/>
  <c r="K128" i="1"/>
  <c r="J128" i="1"/>
  <c r="J135" i="1"/>
  <c r="K149" i="1"/>
  <c r="J149" i="1"/>
  <c r="I149" i="1"/>
  <c r="K157" i="1"/>
  <c r="J157" i="1"/>
  <c r="I157" i="1"/>
  <c r="I49" i="1"/>
  <c r="J49" i="1" s="1"/>
  <c r="K49" i="1" s="1"/>
  <c r="Q49" i="1" s="1"/>
  <c r="R49" i="1" s="1"/>
  <c r="I56" i="1"/>
  <c r="J56" i="1" s="1"/>
  <c r="K56" i="1" s="1"/>
  <c r="Q56" i="1" s="1"/>
  <c r="R56" i="1" s="1"/>
  <c r="J62" i="1"/>
  <c r="K62" i="1" s="1"/>
  <c r="Q62" i="1" s="1"/>
  <c r="R62" i="1" s="1"/>
  <c r="I64" i="1"/>
  <c r="J64" i="1" s="1"/>
  <c r="K64" i="1" s="1"/>
  <c r="Q64" i="1" s="1"/>
  <c r="R64" i="1" s="1"/>
  <c r="I72" i="1"/>
  <c r="J72" i="1" s="1"/>
  <c r="K72" i="1" s="1"/>
  <c r="Q72" i="1" s="1"/>
  <c r="R72" i="1" s="1"/>
  <c r="K78" i="1"/>
  <c r="J78" i="1"/>
  <c r="I80" i="1"/>
  <c r="K86" i="1"/>
  <c r="J86" i="1"/>
  <c r="I88" i="1"/>
  <c r="K94" i="1"/>
  <c r="J94" i="1"/>
  <c r="I96" i="1"/>
  <c r="K102" i="1"/>
  <c r="J102" i="1"/>
  <c r="I104" i="1"/>
  <c r="K110" i="1"/>
  <c r="J110" i="1"/>
  <c r="I112" i="1"/>
  <c r="K118" i="1"/>
  <c r="J118" i="1"/>
  <c r="I120" i="1"/>
  <c r="J127" i="1"/>
  <c r="K141" i="1"/>
  <c r="J141" i="1"/>
  <c r="I141" i="1"/>
  <c r="I154" i="1"/>
  <c r="K154" i="1"/>
  <c r="J162" i="1"/>
  <c r="I162" i="1"/>
  <c r="K222" i="1"/>
  <c r="J222" i="1"/>
  <c r="I222" i="1"/>
  <c r="I24" i="1"/>
  <c r="J24" i="1" s="1"/>
  <c r="B3" i="3"/>
  <c r="I10" i="1"/>
  <c r="J10" i="1" s="1"/>
  <c r="I28" i="1"/>
  <c r="J28" i="1" s="1"/>
  <c r="K28" i="1" s="1"/>
  <c r="Q28" i="1" s="1"/>
  <c r="R28" i="1" s="1"/>
  <c r="K133" i="1"/>
  <c r="J133" i="1"/>
  <c r="I133" i="1"/>
  <c r="I146" i="1"/>
  <c r="K146" i="1"/>
  <c r="K163" i="1"/>
  <c r="J163" i="1"/>
  <c r="I163" i="1"/>
  <c r="J221" i="1"/>
  <c r="I270" i="1"/>
  <c r="J18" i="1"/>
  <c r="K18" i="1" s="1"/>
  <c r="Q18" i="1" s="1"/>
  <c r="R18" i="1" s="1"/>
  <c r="I30" i="1"/>
  <c r="J30" i="1" s="1"/>
  <c r="K30" i="1" s="1"/>
  <c r="Q30" i="1" s="1"/>
  <c r="R30" i="1" s="1"/>
  <c r="B4" i="3"/>
  <c r="J45" i="1"/>
  <c r="K45" i="1" s="1"/>
  <c r="Q45" i="1" s="1"/>
  <c r="R45" i="1" s="1"/>
  <c r="J52" i="1"/>
  <c r="K52" i="1" s="1"/>
  <c r="Q52" i="1" s="1"/>
  <c r="R52" i="1" s="1"/>
  <c r="J60" i="1"/>
  <c r="K60" i="1" s="1"/>
  <c r="Q60" i="1" s="1"/>
  <c r="R60" i="1" s="1"/>
  <c r="K76" i="1"/>
  <c r="J76" i="1"/>
  <c r="K84" i="1"/>
  <c r="J84" i="1"/>
  <c r="K92" i="1"/>
  <c r="J92" i="1"/>
  <c r="K100" i="1"/>
  <c r="J100" i="1"/>
  <c r="K108" i="1"/>
  <c r="J108" i="1"/>
  <c r="K116" i="1"/>
  <c r="J116" i="1"/>
  <c r="K125" i="1"/>
  <c r="J125" i="1"/>
  <c r="I125" i="1"/>
  <c r="I138" i="1"/>
  <c r="K138" i="1"/>
  <c r="K189" i="1"/>
  <c r="J189" i="1"/>
  <c r="I189" i="1"/>
  <c r="K211" i="1"/>
  <c r="J211" i="1"/>
  <c r="I211" i="1"/>
  <c r="K217" i="1"/>
  <c r="J217" i="1"/>
  <c r="I217" i="1"/>
  <c r="I253" i="1"/>
  <c r="K253" i="1"/>
  <c r="I265" i="1"/>
  <c r="K265" i="1"/>
  <c r="J265" i="1"/>
  <c r="J168" i="1"/>
  <c r="I168" i="1"/>
  <c r="K168" i="1"/>
  <c r="J172" i="1"/>
  <c r="I172" i="1"/>
  <c r="K172" i="1"/>
  <c r="I176" i="1"/>
  <c r="K176" i="1"/>
  <c r="I184" i="1"/>
  <c r="K184" i="1"/>
  <c r="I192" i="1"/>
  <c r="K192" i="1"/>
  <c r="J192" i="1"/>
  <c r="I225" i="1"/>
  <c r="K225" i="1"/>
  <c r="J225" i="1"/>
  <c r="I241" i="1"/>
  <c r="K241" i="1"/>
  <c r="J241" i="1"/>
  <c r="I257" i="1"/>
  <c r="K257" i="1"/>
  <c r="J257" i="1"/>
  <c r="J276" i="1"/>
  <c r="I276" i="1"/>
  <c r="K276" i="1"/>
  <c r="I281" i="1"/>
  <c r="K281" i="1"/>
  <c r="J281" i="1"/>
  <c r="I271" i="1"/>
  <c r="J271" i="1"/>
  <c r="K271" i="1"/>
  <c r="I291" i="1"/>
  <c r="K291" i="1"/>
  <c r="I182" i="1"/>
  <c r="J182" i="1"/>
  <c r="K182" i="1"/>
  <c r="I190" i="1"/>
  <c r="J190" i="1"/>
  <c r="K190" i="1"/>
  <c r="J203" i="1"/>
  <c r="I203" i="1"/>
  <c r="K203" i="1"/>
  <c r="I208" i="1"/>
  <c r="K208" i="1"/>
  <c r="J208" i="1"/>
  <c r="I233" i="1"/>
  <c r="K233" i="1"/>
  <c r="J233" i="1"/>
  <c r="I249" i="1"/>
  <c r="K249" i="1"/>
  <c r="J249" i="1"/>
  <c r="J292" i="1"/>
  <c r="I292" i="1"/>
  <c r="K292" i="1"/>
  <c r="I297" i="1"/>
  <c r="K297" i="1"/>
  <c r="J297" i="1"/>
  <c r="J291" i="1"/>
  <c r="B8" i="3"/>
  <c r="C13" i="3"/>
  <c r="J164" i="1"/>
  <c r="I164" i="1"/>
  <c r="J194" i="1"/>
  <c r="J195" i="1"/>
  <c r="I195" i="1"/>
  <c r="K195" i="1"/>
  <c r="I200" i="1"/>
  <c r="K200" i="1"/>
  <c r="J200" i="1"/>
  <c r="K286" i="1"/>
  <c r="J286" i="1"/>
  <c r="I286" i="1"/>
  <c r="J179" i="1"/>
  <c r="I179" i="1"/>
  <c r="K179" i="1"/>
  <c r="J187" i="1"/>
  <c r="I187" i="1"/>
  <c r="K187" i="1"/>
  <c r="K194" i="1"/>
  <c r="K205" i="1"/>
  <c r="J205" i="1"/>
  <c r="J229" i="1"/>
  <c r="K230" i="1"/>
  <c r="J230" i="1"/>
  <c r="I230" i="1"/>
  <c r="J245" i="1"/>
  <c r="K246" i="1"/>
  <c r="J246" i="1"/>
  <c r="I246" i="1"/>
  <c r="K262" i="1"/>
  <c r="J262" i="1"/>
  <c r="I262" i="1"/>
  <c r="I275" i="1"/>
  <c r="K275" i="1"/>
  <c r="K198" i="1"/>
  <c r="K206" i="1"/>
  <c r="J215" i="1"/>
  <c r="I220" i="1"/>
  <c r="K220" i="1"/>
  <c r="I228" i="1"/>
  <c r="K228" i="1"/>
  <c r="I236" i="1"/>
  <c r="K236" i="1"/>
  <c r="I244" i="1"/>
  <c r="K244" i="1"/>
  <c r="I252" i="1"/>
  <c r="K252" i="1"/>
  <c r="I260" i="1"/>
  <c r="K260" i="1"/>
  <c r="K267" i="1"/>
  <c r="I273" i="1"/>
  <c r="K273" i="1"/>
  <c r="J273" i="1"/>
  <c r="J284" i="1"/>
  <c r="I284" i="1"/>
  <c r="K284" i="1"/>
  <c r="I289" i="1"/>
  <c r="K289" i="1"/>
  <c r="J289" i="1"/>
  <c r="J300" i="1"/>
  <c r="I300" i="1"/>
  <c r="K300" i="1"/>
  <c r="I223" i="1"/>
  <c r="K223" i="1"/>
  <c r="I231" i="1"/>
  <c r="K231" i="1"/>
  <c r="I239" i="1"/>
  <c r="K239" i="1"/>
  <c r="I247" i="1"/>
  <c r="K247" i="1"/>
  <c r="I255" i="1"/>
  <c r="K255" i="1"/>
  <c r="I263" i="1"/>
  <c r="J263" i="1"/>
  <c r="K263" i="1"/>
  <c r="J198" i="1"/>
  <c r="J206" i="1"/>
  <c r="I215" i="1"/>
  <c r="J267" i="1"/>
  <c r="J268" i="1"/>
  <c r="I268" i="1"/>
  <c r="K268" i="1"/>
  <c r="K278" i="1"/>
  <c r="J278" i="1"/>
  <c r="K294" i="1"/>
  <c r="J294" i="1"/>
  <c r="K279" i="1"/>
  <c r="K287" i="1"/>
  <c r="K295" i="1"/>
  <c r="J279" i="1"/>
  <c r="J287" i="1"/>
  <c r="J295" i="1"/>
  <c r="D88" i="2" l="1"/>
  <c r="D95" i="2"/>
  <c r="D83" i="2"/>
  <c r="D69" i="2"/>
  <c r="D92" i="2"/>
  <c r="D89" i="2"/>
  <c r="D96" i="2"/>
  <c r="D84" i="2"/>
  <c r="D90" i="2"/>
  <c r="K15" i="1"/>
  <c r="Q15" i="1" s="1"/>
  <c r="R15" i="1" s="1"/>
  <c r="D79" i="2"/>
  <c r="D86" i="2"/>
  <c r="D98" i="2"/>
  <c r="D99" i="2"/>
  <c r="D97" i="2"/>
  <c r="D82" i="2"/>
  <c r="D93" i="2"/>
  <c r="D91" i="2"/>
  <c r="K10" i="1"/>
  <c r="D87" i="2"/>
  <c r="D94" i="2"/>
  <c r="D68" i="2"/>
  <c r="D61" i="2"/>
  <c r="D78" i="2"/>
  <c r="D74" i="2"/>
  <c r="D81" i="2"/>
  <c r="D72" i="2"/>
  <c r="D58" i="2"/>
  <c r="D80" i="2"/>
  <c r="D64" i="2"/>
  <c r="D73" i="2"/>
  <c r="D70" i="2"/>
  <c r="D67" i="2"/>
  <c r="D77" i="2"/>
  <c r="D65" i="2"/>
  <c r="K12" i="1"/>
  <c r="Q12" i="1" s="1"/>
  <c r="R12" i="1" s="1"/>
  <c r="D62" i="2"/>
  <c r="D76" i="2"/>
  <c r="D60" i="2"/>
  <c r="D75" i="2"/>
  <c r="D59" i="2"/>
  <c r="D66" i="2"/>
  <c r="D71" i="2"/>
  <c r="K40" i="1"/>
  <c r="Q40" i="1" s="1"/>
  <c r="R40" i="1" s="1"/>
  <c r="D55" i="2"/>
  <c r="K42" i="1"/>
  <c r="Q42" i="1" s="1"/>
  <c r="R42" i="1" s="1"/>
  <c r="D57" i="2"/>
  <c r="D5" i="2"/>
  <c r="K39" i="1"/>
  <c r="D54" i="2"/>
  <c r="K41" i="1"/>
  <c r="Q41" i="1" s="1"/>
  <c r="R41" i="1" s="1"/>
  <c r="D56" i="2"/>
  <c r="K13" i="1"/>
  <c r="Q13" i="1" s="1"/>
  <c r="R13" i="1" s="1"/>
  <c r="D23" i="2"/>
  <c r="D22" i="2"/>
  <c r="D21" i="2"/>
  <c r="D52" i="2"/>
  <c r="D20" i="2"/>
  <c r="D51" i="2"/>
  <c r="D19" i="2"/>
  <c r="D18" i="2"/>
  <c r="K11" i="1"/>
  <c r="D12" i="2"/>
  <c r="D14" i="2"/>
  <c r="D15" i="2"/>
  <c r="D16" i="2"/>
  <c r="D13" i="2"/>
  <c r="D17" i="2"/>
  <c r="K24" i="1"/>
  <c r="Q24" i="1" s="1"/>
  <c r="E16" i="3" s="1"/>
  <c r="D40" i="2"/>
  <c r="D32" i="2"/>
  <c r="D39" i="2"/>
  <c r="D31" i="2"/>
  <c r="D38" i="2"/>
  <c r="D30" i="2"/>
  <c r="D53" i="2"/>
  <c r="D37" i="2"/>
  <c r="D29" i="2"/>
  <c r="D36" i="2"/>
  <c r="D28" i="2"/>
  <c r="D35" i="2"/>
  <c r="D34" i="2"/>
  <c r="D33" i="2"/>
  <c r="K14" i="1"/>
  <c r="B18" i="3" s="1"/>
  <c r="D24" i="2"/>
  <c r="D27" i="2"/>
  <c r="D26" i="2"/>
  <c r="D25" i="2"/>
  <c r="K26" i="1"/>
  <c r="Q26" i="1" s="1"/>
  <c r="E19" i="3" s="1"/>
  <c r="D48" i="2"/>
  <c r="D47" i="2"/>
  <c r="D46" i="2"/>
  <c r="D45" i="2"/>
  <c r="D44" i="2"/>
  <c r="D43" i="2"/>
  <c r="D50" i="2"/>
  <c r="D42" i="2"/>
  <c r="D49" i="2"/>
  <c r="D41" i="2"/>
  <c r="K17" i="1"/>
  <c r="B14" i="3" s="1"/>
  <c r="B16" i="3"/>
  <c r="Q11" i="1"/>
  <c r="B20" i="3"/>
  <c r="Q10" i="1"/>
  <c r="R10" i="1" s="1"/>
  <c r="D8" i="2"/>
  <c r="D9" i="2"/>
  <c r="D10" i="2"/>
  <c r="D11" i="2"/>
  <c r="D6" i="2"/>
  <c r="D7" i="2"/>
  <c r="D4" i="2"/>
  <c r="B6" i="3"/>
  <c r="K4" i="1"/>
  <c r="Q4" i="1" s="1"/>
  <c r="R4" i="1" s="1"/>
  <c r="B5" i="3"/>
  <c r="B13" i="3" l="1"/>
  <c r="E20" i="3"/>
  <c r="B15" i="3"/>
  <c r="Q17" i="1"/>
  <c r="E14" i="3" s="1"/>
  <c r="E13" i="3"/>
  <c r="Q39" i="1"/>
  <c r="E15" i="3" s="1"/>
  <c r="Q14" i="1"/>
  <c r="E18" i="3" s="1"/>
  <c r="B19" i="3"/>
  <c r="R26" i="1"/>
  <c r="D19" i="3"/>
  <c r="D16" i="3"/>
  <c r="R24" i="1"/>
  <c r="R17" i="1"/>
  <c r="D14" i="3"/>
  <c r="R11" i="1"/>
  <c r="D20" i="3"/>
  <c r="B17" i="3"/>
  <c r="D17" i="3"/>
  <c r="E17" i="3"/>
  <c r="B7" i="3"/>
  <c r="D13" i="3"/>
  <c r="D15" i="3" l="1"/>
  <c r="B9" i="3"/>
  <c r="R39" i="1"/>
  <c r="D18" i="3"/>
  <c r="R14" i="1"/>
  <c r="B10" i="3"/>
</calcChain>
</file>

<file path=xl/sharedStrings.xml><?xml version="1.0" encoding="utf-8"?>
<sst xmlns="http://schemas.openxmlformats.org/spreadsheetml/2006/main" count="557" uniqueCount="160">
  <si>
    <t>DIAMOND SUPPLIER PAYMENT TRACKER</t>
  </si>
  <si>
    <t>Enter invoices here. Full Amount auto-calculates from Weight × Rate. Enter Sales Return/QC Out as weight (ct/gm); return amount and 1.5% tax calculate automatically. Add every part payment in Partial Payment Log.</t>
  </si>
  <si>
    <t>Invoice No</t>
  </si>
  <si>
    <t>Supplier Name</t>
  </si>
  <si>
    <t>Invoice Date</t>
  </si>
  <si>
    <t>Weight (ct/gm)</t>
  </si>
  <si>
    <t>Rate</t>
  </si>
  <si>
    <t>Full Amount</t>
  </si>
  <si>
    <t>Sales Return (QC Out) Weight</t>
  </si>
  <si>
    <t>Sales Return Amount</t>
  </si>
  <si>
    <t>Tax 1.5%</t>
  </si>
  <si>
    <t>Total After Return + Tax</t>
  </si>
  <si>
    <t>Net Payable</t>
  </si>
  <si>
    <t>Payment Term Days</t>
  </si>
  <si>
    <t>Due Date</t>
  </si>
  <si>
    <t>Days Left/Overdue</t>
  </si>
  <si>
    <t>Due Bucket</t>
  </si>
  <si>
    <t>Total Paid</t>
  </si>
  <si>
    <t>Balance</t>
  </si>
  <si>
    <t>Payment Status</t>
  </si>
  <si>
    <t>Remarks</t>
  </si>
  <si>
    <t>APPLE GEMS</t>
  </si>
  <si>
    <t>PARTIAL PAYMENT LOG - ENTER EVERY PAYMENT HERE</t>
  </si>
  <si>
    <t>For one invoice, add many payment rows here. The tracker will calculate total paid and balance automatically.</t>
  </si>
  <si>
    <t>Payment Date</t>
  </si>
  <si>
    <t>Invoice Amount</t>
  </si>
  <si>
    <t>Payment Amount</t>
  </si>
  <si>
    <t>Payment Mode</t>
  </si>
  <si>
    <t>RTGS/NEFT</t>
  </si>
  <si>
    <t>DIAMOND SUPPLIER PAYMENT DASHBOARD</t>
  </si>
  <si>
    <t>Total Full Amount</t>
  </si>
  <si>
    <t>Tax 1.5% on Net Purchase</t>
  </si>
  <si>
    <t>Total Paid Amount</t>
  </si>
  <si>
    <t>Total Balance Amount</t>
  </si>
  <si>
    <t>Overdue Balance</t>
  </si>
  <si>
    <t>Total Net Payable</t>
  </si>
  <si>
    <t>AV DIAMONDS</t>
  </si>
  <si>
    <t>SHINESTONE DIAM LLP</t>
  </si>
  <si>
    <t>GALAXY DIAMONDS</t>
  </si>
  <si>
    <t>BHAVYA JEWELS</t>
  </si>
  <si>
    <t>JEEYA DIAMOND</t>
  </si>
  <si>
    <t>S &amp; M DIAMONDS .</t>
  </si>
  <si>
    <t>ARYAN GEMS</t>
  </si>
  <si>
    <t>RITESH EXPORT</t>
  </si>
  <si>
    <t>KUSHION DANDH</t>
  </si>
  <si>
    <t>Contact Person</t>
  </si>
  <si>
    <t>Phone</t>
  </si>
  <si>
    <t>Email</t>
  </si>
  <si>
    <t>Address</t>
  </si>
  <si>
    <t>Default Payment Term</t>
  </si>
  <si>
    <t>Opening Balance</t>
  </si>
  <si>
    <t>Payment Terms</t>
  </si>
  <si>
    <t>Cash</t>
  </si>
  <si>
    <t>UPI</t>
  </si>
  <si>
    <t>Cheque</t>
  </si>
  <si>
    <t>Bank Transfer</t>
  </si>
  <si>
    <t>Other</t>
  </si>
  <si>
    <t xml:space="preserve">VALLAB BHAI </t>
  </si>
  <si>
    <t>SALVIN</t>
  </si>
  <si>
    <t xml:space="preserve">RAJU BAI </t>
  </si>
  <si>
    <t>LAZER</t>
  </si>
  <si>
    <t>NARESH</t>
  </si>
  <si>
    <t>KIRAN</t>
  </si>
  <si>
    <t>LALIT</t>
  </si>
  <si>
    <t>JIJO</t>
  </si>
  <si>
    <t>ILESH</t>
  </si>
  <si>
    <t>KUSHION</t>
  </si>
  <si>
    <t>C/O Paul</t>
  </si>
  <si>
    <t>THR Diamond Supplair</t>
  </si>
  <si>
    <t>MUMBAI BKC Supplair</t>
  </si>
  <si>
    <t>SURAT Diamond Supplair</t>
  </si>
  <si>
    <t>MUMBAI Diamond Supplair</t>
  </si>
  <si>
    <t>C/O SHIVADAS</t>
  </si>
  <si>
    <t>C/O</t>
  </si>
  <si>
    <t>Phone2</t>
  </si>
  <si>
    <t xml:space="preserve">PAUL  </t>
  </si>
  <si>
    <t>SIVADAS</t>
  </si>
  <si>
    <t>OPEN-JEEYA</t>
  </si>
  <si>
    <t>01-04-2026</t>
  </si>
  <si>
    <t>18-04-2026</t>
  </si>
  <si>
    <t>23-04-2026</t>
  </si>
  <si>
    <t>30-04-2026</t>
  </si>
  <si>
    <t>22-05-2026</t>
  </si>
  <si>
    <t>11-06-2026</t>
  </si>
  <si>
    <t>16-06-2026</t>
  </si>
  <si>
    <t>24-06-2026</t>
  </si>
  <si>
    <t>J016-2026-27</t>
  </si>
  <si>
    <t>J020-2026-27</t>
  </si>
  <si>
    <t>J023-2026-27</t>
  </si>
  <si>
    <t>J026-2026-27</t>
  </si>
  <si>
    <t>J026-2026-27-2</t>
  </si>
  <si>
    <t>OPEN--RITESH</t>
  </si>
  <si>
    <t>11-04-2026</t>
  </si>
  <si>
    <t>24-04-2026</t>
  </si>
  <si>
    <t>05-05-2026</t>
  </si>
  <si>
    <t>18-05-2026</t>
  </si>
  <si>
    <t>27-05-2026</t>
  </si>
  <si>
    <t>LS/83/26-27</t>
  </si>
  <si>
    <t>OPEN-APPLE</t>
  </si>
  <si>
    <t>03-06-2026</t>
  </si>
  <si>
    <t>OPEN-S&amp;M</t>
  </si>
  <si>
    <t>SM/62/26-27</t>
  </si>
  <si>
    <t>SM/62/26-27-B</t>
  </si>
  <si>
    <t>13-04-2026</t>
  </si>
  <si>
    <t>18-06-2026</t>
  </si>
  <si>
    <t>12-05-2026</t>
  </si>
  <si>
    <t>13-05-2026</t>
  </si>
  <si>
    <t>25-05-2026</t>
  </si>
  <si>
    <t>08-06-2026</t>
  </si>
  <si>
    <t>20-06-2026</t>
  </si>
  <si>
    <t>01-07-2026</t>
  </si>
  <si>
    <t>OPEN-AV</t>
  </si>
  <si>
    <t>OPEN -BAV</t>
  </si>
  <si>
    <t>OPEN-ARIA</t>
  </si>
  <si>
    <t>AEI01</t>
  </si>
  <si>
    <t>AEI02</t>
  </si>
  <si>
    <t>AEI03</t>
  </si>
  <si>
    <t>AEI04</t>
  </si>
  <si>
    <t>AEI05</t>
  </si>
  <si>
    <t>AEI06</t>
  </si>
  <si>
    <t>AEI07</t>
  </si>
  <si>
    <t>AEI08</t>
  </si>
  <si>
    <t>AEI09</t>
  </si>
  <si>
    <t>AEI10</t>
  </si>
  <si>
    <t>AEI11</t>
  </si>
  <si>
    <t>AEI12</t>
  </si>
  <si>
    <t>SH01</t>
  </si>
  <si>
    <t>SH02</t>
  </si>
  <si>
    <t>SH03</t>
  </si>
  <si>
    <t>SH04</t>
  </si>
  <si>
    <t>AG118</t>
  </si>
  <si>
    <t>AV0035</t>
  </si>
  <si>
    <t>AV0036</t>
  </si>
  <si>
    <t>AV0033</t>
  </si>
  <si>
    <t>AG130</t>
  </si>
  <si>
    <t>AG130B</t>
  </si>
  <si>
    <t>AG132</t>
  </si>
  <si>
    <t>AV0043</t>
  </si>
  <si>
    <t>AG154</t>
  </si>
  <si>
    <t>AV0042</t>
  </si>
  <si>
    <t>J034</t>
  </si>
  <si>
    <t>B04</t>
  </si>
  <si>
    <t>J032</t>
  </si>
  <si>
    <t>J033</t>
  </si>
  <si>
    <t>AG146</t>
  </si>
  <si>
    <t>AV0046</t>
  </si>
  <si>
    <t>AV0047</t>
  </si>
  <si>
    <t>AV0053-A</t>
  </si>
  <si>
    <t>AV0053-B</t>
  </si>
  <si>
    <t>AG179-A</t>
  </si>
  <si>
    <t>AG179-B</t>
  </si>
  <si>
    <t>AG179-C</t>
  </si>
  <si>
    <t>LS/192</t>
  </si>
  <si>
    <t>J041</t>
  </si>
  <si>
    <t>J040</t>
  </si>
  <si>
    <t>AG208</t>
  </si>
  <si>
    <t>AV0060</t>
  </si>
  <si>
    <t>24-09-2026</t>
  </si>
  <si>
    <t>TDS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</si>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</sst>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dd\-mmm\-yyyy"/>
    <numFmt numFmtId="166" formatCode="0.000"/>
    <numFmt numFmtId="167" formatCode="\₹#,##0.00"/>
    <numFmt numFmtId="168" formatCode="#,##0.000000000"/>
  </numFmts>
  <fonts count="9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1F2937"/>
      <name val="Carlito"/>
    </font>
    <font>
      <b/>
      <sz val="11"/>
      <name val="Carlito"/>
    </font>
    <font>
      <b/>
      <sz val="16"/>
      <color rgb="FF1F4E78"/>
      <name val="Carlito"/>
    </font>
    <font>
      <i/>
      <sz val="11"/>
      <color rgb="FF555555"/>
      <name val="Carlito"/>
    </font>
    <font>
      <b/>
      <sz val="11"/>
      <color theme="0"/>
      <name val="Carlito"/>
    </font>
    <font>
      <sz val="8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E0F2FE"/>
      </patternFill>
    </fill>
    <fill>
      <patternFill patternType="solid">
        <fgColor rgb="FF1F4E78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0" fillId="0" borderId="0" xfId="0" applyNumberFormat="1"/>
    <xf numFmtId="0" fontId="4" fillId="5" borderId="0" xfId="0" applyFont="1" applyFill="1"/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7" fontId="0" fillId="0" borderId="0" xfId="0" applyNumberFormat="1"/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8" borderId="0" xfId="0" applyFill="1"/>
    <xf numFmtId="0" fontId="0" fillId="8" borderId="0" xfId="0" applyFill="1" applyAlignment="1">
      <alignment wrapText="1"/>
    </xf>
    <xf numFmtId="167" fontId="0" fillId="8" borderId="0" xfId="0" applyNumberFormat="1" applyFill="1" applyAlignment="1">
      <alignment wrapText="1"/>
    </xf>
    <xf numFmtId="167" fontId="0" fillId="9" borderId="0" xfId="0" applyNumberFormat="1" applyFill="1" applyAlignment="1">
      <alignment wrapText="1"/>
    </xf>
    <xf numFmtId="167" fontId="0" fillId="9" borderId="0" xfId="0" applyNumberFormat="1" applyFill="1"/>
    <xf numFmtId="167" fontId="0" fillId="10" borderId="0" xfId="0" applyNumberFormat="1" applyFill="1"/>
    <xf numFmtId="168" fontId="0" fillId="0" borderId="0" xfId="0" applyNumberFormat="1"/>
    <xf numFmtId="166" fontId="0" fillId="8" borderId="0" xfId="0" applyNumberForma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0" fillId="9" borderId="0" xfId="0" applyFill="1"/>
    <xf numFmtId="4" fontId="0" fillId="9" borderId="0" xfId="0" applyNumberFormat="1" applyFill="1"/>
    <xf numFmtId="164" fontId="0" fillId="9" borderId="0" xfId="0" applyNumberFormat="1" applyFill="1" applyAlignment="1">
      <alignment wrapText="1"/>
    </xf>
    <xf numFmtId="0" fontId="1" fillId="11" borderId="0" xfId="0" applyFont="1" applyFill="1" applyAlignment="1">
      <alignment horizontal="center" vertical="center" wrapText="1"/>
    </xf>
    <xf numFmtId="164" fontId="0" fillId="11" borderId="0" xfId="0" applyNumberFormat="1" applyFill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"/>
  <sheetViews>
    <sheetView topLeftCell="J3" zoomScale="150" zoomScaleNormal="150" workbookViewId="0">
      <selection activeCell="R4" sqref="R4"/>
    </sheetView>
  </sheetViews>
  <sheetFormatPr baseColWidth="10" defaultColWidth="8.83203125" defaultRowHeight="14"/>
  <cols>
    <col min="1" max="1" width="14" customWidth="1"/>
    <col min="2" max="2" width="24.1640625" customWidth="1"/>
    <col min="3" max="4" width="14" customWidth="1"/>
    <col min="5" max="5" width="12" customWidth="1"/>
    <col min="6" max="6" width="15" customWidth="1"/>
    <col min="7" max="7" width="22" customWidth="1"/>
    <col min="8" max="8" width="16" customWidth="1"/>
    <col min="9" max="9" width="13" customWidth="1"/>
    <col min="10" max="10" width="20" customWidth="1"/>
    <col min="11" max="12" width="16" customWidth="1"/>
    <col min="13" max="13" width="14" customWidth="1"/>
    <col min="14" max="14" width="16" customWidth="1"/>
    <col min="15" max="18" width="14" customWidth="1"/>
  </cols>
  <sheetData>
    <row r="1" spans="1:18" ht="21" hidden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ht="15" hidden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3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28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32" t="s">
        <v>19</v>
      </c>
    </row>
    <row r="4" spans="1:18" ht="15">
      <c r="A4" s="5" t="s">
        <v>86</v>
      </c>
      <c r="B4" s="5" t="s">
        <v>40</v>
      </c>
      <c r="C4" s="8">
        <v>46190</v>
      </c>
      <c r="D4" s="9">
        <v>52.49</v>
      </c>
      <c r="E4" s="10">
        <v>40000</v>
      </c>
      <c r="F4" s="10">
        <f t="shared" ref="F4:F64" si="0">IF(OR(D4="",E4=""),"",D4*E4)</f>
        <v>2099600</v>
      </c>
      <c r="G4" s="9">
        <v>3.52</v>
      </c>
      <c r="H4" s="10">
        <f t="shared" ref="H4:H64" si="1">IF(A4="","",N(G4)*E4)</f>
        <v>140800</v>
      </c>
      <c r="I4" s="10">
        <f t="shared" ref="I4:I64" si="2">IF(F4="","",(F4-H4)*1.5%)</f>
        <v>29382</v>
      </c>
      <c r="J4" s="10">
        <f t="shared" ref="J4:J64" si="3">IF(F4="","",(F4-H4)+I4)</f>
        <v>1988182</v>
      </c>
      <c r="K4" s="10">
        <f t="shared" ref="K4:K64" si="4">IF(F4="","",J4)</f>
        <v>1988182</v>
      </c>
      <c r="L4" s="31">
        <v>90</v>
      </c>
      <c r="M4" s="8">
        <f>IF(OR(C4="",L4=""),"",C4+L4)</f>
        <v>46280</v>
      </c>
      <c r="N4" s="11">
        <f t="shared" ref="N4:N64" ca="1" si="5">IF(M4="","",M4-TODAY())</f>
        <v>-17</v>
      </c>
      <c r="O4" s="7" t="str">
        <f>IF(L4="","",L4&amp;" Day Due")</f>
        <v>90 Day Due</v>
      </c>
      <c r="P4" s="10">
        <f>IF(A4="","",SUMIFS('Partial Payment Log'!$E$4:$E$501,'Partial Payment Log'!$C$4:$C$501,A4))</f>
        <v>0</v>
      </c>
      <c r="Q4" s="10">
        <f>IF(A4="","",K4-P4)</f>
        <v>1988182</v>
      </c>
      <c r="R4" s="33" t="str">
        <f>IF(A4="","",IF(Q4&lt;=0,IF(Q4&lt;0,"Overpaid","Paid"),IF(P4&gt;0,"Part Paid","Unpaid")))</f>
        <v>Unpaid</v>
      </c>
    </row>
    <row r="5" spans="1:18" ht="15">
      <c r="A5" s="5" t="s">
        <v>86</v>
      </c>
      <c r="B5" s="5" t="s">
        <v>40</v>
      </c>
      <c r="C5" s="8">
        <v>46193</v>
      </c>
      <c r="D5" s="9">
        <v>28.59</v>
      </c>
      <c r="E5" s="10">
        <v>40000</v>
      </c>
      <c r="F5" s="10">
        <f t="shared" si="0"/>
        <v>1143600</v>
      </c>
      <c r="G5" s="9">
        <v>11.7</v>
      </c>
      <c r="H5" s="10">
        <f t="shared" si="1"/>
        <v>468000</v>
      </c>
      <c r="I5" s="10">
        <f t="shared" si="2"/>
        <v>10134</v>
      </c>
      <c r="J5" s="10">
        <f t="shared" si="3"/>
        <v>685734</v>
      </c>
      <c r="K5" s="10">
        <f t="shared" si="4"/>
        <v>685734</v>
      </c>
      <c r="L5" s="31">
        <v>90</v>
      </c>
      <c r="M5" s="8">
        <f>IF(OR(C5="",L5=""),"",C5+L5)</f>
        <v>46283</v>
      </c>
      <c r="N5" s="11">
        <f t="shared" ca="1" si="5"/>
        <v>-14</v>
      </c>
      <c r="O5" s="7" t="str">
        <f>IF(L5="","",L5&amp;" Day Due")</f>
        <v>90 Day Due</v>
      </c>
      <c r="P5" s="10">
        <f>IF(A5="","",SUMIFS('Partial Payment Log'!$E$4:$E$501,'Partial Payment Log'!$C$4:$C$501,A5))</f>
        <v>0</v>
      </c>
      <c r="Q5" s="10">
        <f>IF(A5="","",K5-P5)</f>
        <v>685734</v>
      </c>
      <c r="R5" s="33" t="str">
        <f>IF(A5="","",IF(Q5&lt;=0,IF(Q5&lt;0,"Overpaid","Paid"),IF(P5&gt;0,"Part Paid","Unpaid")))</f>
        <v>Unpaid</v>
      </c>
    </row>
    <row r="6" spans="1:18" ht="15">
      <c r="A6" s="5" t="s">
        <v>87</v>
      </c>
      <c r="B6" s="5" t="s">
        <v>40</v>
      </c>
      <c r="C6" s="8">
        <v>46195</v>
      </c>
      <c r="D6" s="9">
        <v>85.47</v>
      </c>
      <c r="E6" s="10">
        <v>40000</v>
      </c>
      <c r="F6" s="10">
        <f t="shared" si="0"/>
        <v>3418800</v>
      </c>
      <c r="G6" s="9">
        <v>12.45</v>
      </c>
      <c r="H6" s="10">
        <f t="shared" si="1"/>
        <v>498000</v>
      </c>
      <c r="I6" s="10">
        <f t="shared" si="2"/>
        <v>43812</v>
      </c>
      <c r="J6" s="10">
        <f t="shared" si="3"/>
        <v>2964612</v>
      </c>
      <c r="K6" s="10">
        <f t="shared" si="4"/>
        <v>2964612</v>
      </c>
      <c r="L6" s="31">
        <v>90</v>
      </c>
      <c r="M6" s="8">
        <f>IF(OR(C6="",L6=""),"",C6+L6)</f>
        <v>46285</v>
      </c>
      <c r="N6" s="11">
        <f t="shared" ca="1" si="5"/>
        <v>-12</v>
      </c>
      <c r="O6" s="7" t="str">
        <f>IF(L6="","",L6&amp;" Day Due")</f>
        <v>90 Day Due</v>
      </c>
      <c r="P6" s="10">
        <f>IF(A6="","",SUMIFS('Partial Payment Log'!$E$4:$E$501,'Partial Payment Log'!$C$4:$C$501,A6))</f>
        <v>0</v>
      </c>
      <c r="Q6" s="10">
        <f>IF(A6="","",K6-P6)</f>
        <v>2964612</v>
      </c>
      <c r="R6" s="33" t="str">
        <f>IF(A6="","",IF(Q6&lt;=0,IF(Q6&lt;0,"Overpaid","Paid"),IF(P6&gt;0,"Part Paid","Unpaid")))</f>
        <v>Unpaid</v>
      </c>
    </row>
    <row r="7" spans="1:18" ht="15">
      <c r="A7" s="5" t="s">
        <v>88</v>
      </c>
      <c r="B7" s="5" t="s">
        <v>40</v>
      </c>
      <c r="C7" s="8">
        <v>46199</v>
      </c>
      <c r="D7" s="16">
        <v>34.590000000000003</v>
      </c>
      <c r="E7" s="10">
        <v>40000</v>
      </c>
      <c r="F7" s="10">
        <f t="shared" si="0"/>
        <v>1383600.0000000002</v>
      </c>
      <c r="G7" s="9">
        <v>6.92</v>
      </c>
      <c r="H7" s="10">
        <f t="shared" si="1"/>
        <v>276800</v>
      </c>
      <c r="I7" s="10">
        <f t="shared" si="2"/>
        <v>16602.000000000004</v>
      </c>
      <c r="J7" s="10">
        <f t="shared" si="3"/>
        <v>1123402.0000000002</v>
      </c>
      <c r="K7" s="10">
        <f t="shared" si="4"/>
        <v>1123402.0000000002</v>
      </c>
      <c r="L7" s="31">
        <v>90</v>
      </c>
      <c r="M7" s="8">
        <f>IF(OR(C7="",L7=""),"",C7+L7)</f>
        <v>46289</v>
      </c>
      <c r="N7" s="11">
        <f t="shared" ca="1" si="5"/>
        <v>-8</v>
      </c>
      <c r="O7" s="7" t="str">
        <f>IF(L7="","",L7&amp;" Day Due")</f>
        <v>90 Day Due</v>
      </c>
      <c r="P7" s="10">
        <f>IF(A7="","",SUMIFS('Partial Payment Log'!$E$4:$E$501,'Partial Payment Log'!$C$4:$C$501,A7))</f>
        <v>0</v>
      </c>
      <c r="Q7" s="10">
        <f>IF(A7="","",K7-P7)</f>
        <v>1123402.0000000002</v>
      </c>
      <c r="R7" s="33" t="str">
        <f>IF(A7="","",IF(Q7&lt;=0,IF(Q7&lt;0,"Overpaid","Paid"),IF(P7&gt;0,"Part Paid","Unpaid")))</f>
        <v>Unpaid</v>
      </c>
    </row>
    <row r="8" spans="1:18" ht="15">
      <c r="A8" s="5" t="s">
        <v>89</v>
      </c>
      <c r="B8" s="5" t="s">
        <v>40</v>
      </c>
      <c r="C8" s="8">
        <v>46202</v>
      </c>
      <c r="D8" s="16">
        <v>19.89</v>
      </c>
      <c r="E8" s="10">
        <v>40000</v>
      </c>
      <c r="F8" s="10">
        <f t="shared" si="0"/>
        <v>795600</v>
      </c>
      <c r="G8" s="9">
        <v>0</v>
      </c>
      <c r="H8" s="10">
        <f t="shared" si="1"/>
        <v>0</v>
      </c>
      <c r="I8" s="10">
        <f t="shared" si="2"/>
        <v>11934</v>
      </c>
      <c r="J8" s="10">
        <f t="shared" si="3"/>
        <v>807534</v>
      </c>
      <c r="K8" s="10">
        <f t="shared" si="4"/>
        <v>807534</v>
      </c>
      <c r="L8" s="31">
        <v>90</v>
      </c>
      <c r="M8" s="8">
        <f>IF(OR(C8="",L8=""),"",C8+L8)</f>
        <v>46292</v>
      </c>
      <c r="N8" s="11">
        <f t="shared" ca="1" si="5"/>
        <v>-5</v>
      </c>
      <c r="O8" s="7" t="str">
        <f>IF(L8="","",L8&amp;" Day Due")</f>
        <v>90 Day Due</v>
      </c>
      <c r="P8" s="10">
        <f>IF(A8="","",SUMIFS('Partial Payment Log'!$E$4:$E$501,'Partial Payment Log'!$C$4:$C$501,A8))</f>
        <v>0</v>
      </c>
      <c r="Q8" s="10">
        <f>IF(A8="","",K8-P8)</f>
        <v>807534</v>
      </c>
      <c r="R8" s="33" t="str">
        <f>IF(A8="","",IF(Q8&lt;=0,IF(Q8&lt;0,"Overpaid","Paid"),IF(P8&gt;0,"Part Paid","Unpaid")))</f>
        <v>Unpaid</v>
      </c>
    </row>
    <row r="9" spans="1:18" ht="15">
      <c r="A9" s="5" t="s">
        <v>90</v>
      </c>
      <c r="B9" s="5" t="s">
        <v>40</v>
      </c>
      <c r="C9" s="8">
        <v>46202</v>
      </c>
      <c r="D9" s="16">
        <v>22.04</v>
      </c>
      <c r="E9" s="10">
        <v>40000</v>
      </c>
      <c r="F9" s="10">
        <f t="shared" si="0"/>
        <v>881600</v>
      </c>
      <c r="G9" s="9">
        <v>0</v>
      </c>
      <c r="H9" s="10">
        <f t="shared" si="1"/>
        <v>0</v>
      </c>
      <c r="I9" s="10">
        <f t="shared" si="2"/>
        <v>13224</v>
      </c>
      <c r="J9" s="10">
        <f t="shared" si="3"/>
        <v>894824</v>
      </c>
      <c r="K9" s="10">
        <f t="shared" si="4"/>
        <v>894824</v>
      </c>
      <c r="L9" s="6">
        <v>90</v>
      </c>
      <c r="M9" s="8">
        <f>IF(OR(C9="",L9=""),"",C9+L9)</f>
        <v>46292</v>
      </c>
      <c r="N9" s="11">
        <f t="shared" ca="1" si="5"/>
        <v>-5</v>
      </c>
      <c r="O9" s="7" t="str">
        <f>IF(L9="","",L9&amp;" Day Due")</f>
        <v>90 Day Due</v>
      </c>
      <c r="P9" s="10">
        <f>IF(A9="","",SUMIFS('Partial Payment Log'!$E$4:$E$501,'Partial Payment Log'!$C$4:$C$501,A9))</f>
        <v>0</v>
      </c>
      <c r="Q9" s="10">
        <f>IF(A9="","",K9-P9)</f>
        <v>894824</v>
      </c>
      <c r="R9" s="6" t="str">
        <f>IF(A9="","",IF(Q9&lt;=0,IF(Q9&lt;0,"Overpaid","Paid"),IF(P9&gt;0,"Part Paid","Unpaid")))</f>
        <v>Unpaid</v>
      </c>
    </row>
    <row r="10" spans="1:18" ht="15">
      <c r="A10" s="5" t="s">
        <v>77</v>
      </c>
      <c r="B10" s="5" t="s">
        <v>40</v>
      </c>
      <c r="C10" s="8">
        <v>46113</v>
      </c>
      <c r="D10" s="9">
        <v>246.815</v>
      </c>
      <c r="E10" s="10">
        <v>40000</v>
      </c>
      <c r="F10" s="10">
        <f t="shared" si="0"/>
        <v>9872600</v>
      </c>
      <c r="G10" s="9">
        <v>0</v>
      </c>
      <c r="H10" s="10">
        <f t="shared" si="1"/>
        <v>0</v>
      </c>
      <c r="I10" s="10">
        <f t="shared" si="2"/>
        <v>148089</v>
      </c>
      <c r="J10" s="10">
        <f t="shared" si="3"/>
        <v>10020689</v>
      </c>
      <c r="K10" s="10">
        <f t="shared" si="4"/>
        <v>10020689</v>
      </c>
      <c r="L10" s="6">
        <v>90</v>
      </c>
      <c r="M10" s="8">
        <f>IF(OR(C10="",L10=""),"",C10+L10)</f>
        <v>46203</v>
      </c>
      <c r="N10" s="11">
        <f t="shared" ca="1" si="5"/>
        <v>-94</v>
      </c>
      <c r="O10" s="7" t="str">
        <f>IF(L10="","",L10&amp;" Day Due")</f>
        <v>90 Day Due</v>
      </c>
      <c r="P10" s="10">
        <f>IF(A10="","",SUMIFS('Partial Payment Log'!$E$4:$E$501,'Partial Payment Log'!$C$4:$C$501,A10))</f>
        <v>10901192</v>
      </c>
      <c r="Q10" s="10">
        <f>IF(A10="","",K10-P10)</f>
        <v>-880503</v>
      </c>
      <c r="R10" s="6" t="str">
        <f>IF(A10="","",IF(Q10&lt;=0,IF(Q10&lt;0,"Overpaid","Paid"),IF(P10&gt;0,"Part Paid","Unpaid")))</f>
        <v>Overpaid</v>
      </c>
    </row>
    <row r="11" spans="1:18" ht="15">
      <c r="A11" s="5" t="s">
        <v>91</v>
      </c>
      <c r="B11" s="5" t="s">
        <v>43</v>
      </c>
      <c r="C11" s="8">
        <v>46113</v>
      </c>
      <c r="D11" s="9">
        <v>154.17032019704433</v>
      </c>
      <c r="E11" s="10">
        <v>40000</v>
      </c>
      <c r="F11" s="10">
        <f t="shared" si="0"/>
        <v>6166812.8078817734</v>
      </c>
      <c r="G11" s="9">
        <v>0</v>
      </c>
      <c r="H11" s="10">
        <f t="shared" si="1"/>
        <v>0</v>
      </c>
      <c r="I11" s="10">
        <f t="shared" si="2"/>
        <v>92502.192118226594</v>
      </c>
      <c r="J11" s="10">
        <f t="shared" si="3"/>
        <v>6259315</v>
      </c>
      <c r="K11" s="10">
        <f t="shared" si="4"/>
        <v>6259315</v>
      </c>
      <c r="L11" s="6">
        <v>90</v>
      </c>
      <c r="M11" s="8">
        <f>IF(OR(C11="",L11=""),"",C11+L11)</f>
        <v>46203</v>
      </c>
      <c r="N11" s="11">
        <f t="shared" ca="1" si="5"/>
        <v>-94</v>
      </c>
      <c r="O11" s="7" t="str">
        <f>IF(L11="","",L11&amp;" Day Due")</f>
        <v>90 Day Due</v>
      </c>
      <c r="P11" s="10">
        <f>IF(A11="","",SUMIFS('Partial Payment Log'!$E$4:$E$501,'Partial Payment Log'!$C$4:$C$501,A11))</f>
        <v>6259315</v>
      </c>
      <c r="Q11" s="10">
        <f>IF(A11="","",K11-P11)</f>
        <v>0</v>
      </c>
      <c r="R11" s="6" t="str">
        <f>IF(A11="","",IF(Q11&lt;=0,IF(Q11&lt;0,"Overpaid","Paid"),IF(P11&gt;0,"Part Paid","Unpaid")))</f>
        <v>Paid</v>
      </c>
    </row>
    <row r="12" spans="1:18" ht="15">
      <c r="A12" s="5" t="s">
        <v>97</v>
      </c>
      <c r="B12" s="5" t="s">
        <v>43</v>
      </c>
      <c r="C12" s="8">
        <v>46169</v>
      </c>
      <c r="D12" s="9">
        <v>8.6319950738916269</v>
      </c>
      <c r="E12" s="10">
        <v>40000</v>
      </c>
      <c r="F12" s="10">
        <f t="shared" si="0"/>
        <v>345279.8029556651</v>
      </c>
      <c r="G12" s="9">
        <v>0</v>
      </c>
      <c r="H12" s="10">
        <f t="shared" si="1"/>
        <v>0</v>
      </c>
      <c r="I12" s="10">
        <f t="shared" si="2"/>
        <v>5179.1970443349765</v>
      </c>
      <c r="J12" s="10">
        <f t="shared" si="3"/>
        <v>350459.00000000006</v>
      </c>
      <c r="K12" s="10">
        <f t="shared" si="4"/>
        <v>350459.00000000006</v>
      </c>
      <c r="L12" s="6">
        <v>90</v>
      </c>
      <c r="M12" s="8">
        <f>IF(OR(C12="",L12=""),"",C12+L12)</f>
        <v>46259</v>
      </c>
      <c r="N12" s="11">
        <f t="shared" ca="1" si="5"/>
        <v>-38</v>
      </c>
      <c r="O12" s="7" t="str">
        <f>IF(L12="","",L12&amp;" Day Due")</f>
        <v>90 Day Due</v>
      </c>
      <c r="P12" s="10">
        <f>IF(A12="","",SUMIFS('Partial Payment Log'!$E$4:$E$501,'Partial Payment Log'!$C$4:$C$501,A12))</f>
        <v>350459</v>
      </c>
      <c r="Q12" s="10">
        <f>IF(A12="","",K12-P12)</f>
        <v>5.8207660913467407E-11</v>
      </c>
      <c r="R12" s="6" t="str">
        <f>IF(A12="","",IF(Q12&lt;=0,IF(Q12&lt;0,"Overpaid","Paid"),IF(P12&gt;0,"Part Paid","Unpaid")))</f>
        <v>Part Paid</v>
      </c>
    </row>
    <row r="13" spans="1:18" ht="15">
      <c r="A13" s="5" t="s">
        <v>98</v>
      </c>
      <c r="B13" s="5" t="s">
        <v>21</v>
      </c>
      <c r="C13" s="8">
        <v>46113</v>
      </c>
      <c r="D13" s="9">
        <v>396.83662561576358</v>
      </c>
      <c r="E13" s="10">
        <v>40000</v>
      </c>
      <c r="F13" s="10">
        <f t="shared" si="0"/>
        <v>15873465.024630543</v>
      </c>
      <c r="G13" s="9">
        <v>0</v>
      </c>
      <c r="H13" s="10">
        <f t="shared" si="1"/>
        <v>0</v>
      </c>
      <c r="I13" s="10">
        <f t="shared" si="2"/>
        <v>238101.97536945814</v>
      </c>
      <c r="J13" s="10">
        <f t="shared" si="3"/>
        <v>16111567.000000002</v>
      </c>
      <c r="K13" s="10">
        <f t="shared" si="4"/>
        <v>16111567.000000002</v>
      </c>
      <c r="L13" s="6">
        <v>90</v>
      </c>
      <c r="M13" s="8">
        <f>IF(OR(C13="",L13=""),"",C13+L13)</f>
        <v>46203</v>
      </c>
      <c r="N13" s="11">
        <f t="shared" ca="1" si="5"/>
        <v>-94</v>
      </c>
      <c r="O13" s="7" t="str">
        <f>IF(L13="","",L13&amp;" Day Due")</f>
        <v>90 Day Due</v>
      </c>
      <c r="P13" s="10">
        <f>IF(A13="","",SUMIFS('Partial Payment Log'!$E$4:$E$501,'Partial Payment Log'!$C$4:$C$501,A13))</f>
        <v>16124397</v>
      </c>
      <c r="Q13" s="10">
        <f>IF(A13="","",K13-P13)</f>
        <v>-12829.999999998137</v>
      </c>
      <c r="R13" s="6" t="str">
        <f>IF(A13="","",IF(Q13&lt;=0,IF(Q13&lt;0,"Overpaid","Paid"),IF(P13&gt;0,"Part Paid","Unpaid")))</f>
        <v>Overpaid</v>
      </c>
    </row>
    <row r="14" spans="1:18" ht="15">
      <c r="A14" s="5" t="s">
        <v>100</v>
      </c>
      <c r="B14" s="5" t="s">
        <v>41</v>
      </c>
      <c r="C14" s="8">
        <v>46113</v>
      </c>
      <c r="D14" s="9">
        <v>98.138472906403948</v>
      </c>
      <c r="E14" s="10">
        <v>40000</v>
      </c>
      <c r="F14" s="10">
        <f t="shared" si="0"/>
        <v>3925538.9162561577</v>
      </c>
      <c r="G14" s="9">
        <v>0</v>
      </c>
      <c r="H14" s="10">
        <f t="shared" si="1"/>
        <v>0</v>
      </c>
      <c r="I14" s="10">
        <f t="shared" si="2"/>
        <v>58883.083743842362</v>
      </c>
      <c r="J14" s="10">
        <f t="shared" si="3"/>
        <v>3984422</v>
      </c>
      <c r="K14" s="10">
        <f t="shared" si="4"/>
        <v>3984422</v>
      </c>
      <c r="L14" s="6">
        <v>90</v>
      </c>
      <c r="M14" s="8">
        <f>IF(OR(C14="",L14=""),"",C14+L14)</f>
        <v>46203</v>
      </c>
      <c r="N14" s="11">
        <f t="shared" ca="1" si="5"/>
        <v>-94</v>
      </c>
      <c r="O14" s="7" t="str">
        <f>IF(L14="","",L14&amp;" Day Due")</f>
        <v>90 Day Due</v>
      </c>
      <c r="P14" s="10">
        <f>IF(A14="","",SUMIFS('Partial Payment Log'!$E$4:$E$501,'Partial Payment Log'!$C$4:$C$501,A14))</f>
        <v>5984221</v>
      </c>
      <c r="Q14" s="10">
        <f>IF(A14="","",K14-P14)</f>
        <v>-1999799</v>
      </c>
      <c r="R14" s="6" t="str">
        <f>IF(A14="","",IF(Q14&lt;=0,IF(Q14&lt;0,"Overpaid","Paid"),IF(P14&gt;0,"Part Paid","Unpaid")))</f>
        <v>Overpaid</v>
      </c>
    </row>
    <row r="15" spans="1:18" ht="15">
      <c r="A15" s="5" t="s">
        <v>101</v>
      </c>
      <c r="B15" s="5" t="s">
        <v>41</v>
      </c>
      <c r="C15" s="8">
        <v>46174</v>
      </c>
      <c r="D15" s="9">
        <v>78.316000000000003</v>
      </c>
      <c r="E15" s="10">
        <v>41500</v>
      </c>
      <c r="F15" s="10">
        <f t="shared" si="0"/>
        <v>3250114</v>
      </c>
      <c r="G15" s="9">
        <v>28.55</v>
      </c>
      <c r="H15" s="10">
        <f t="shared" si="1"/>
        <v>1184825</v>
      </c>
      <c r="I15" s="10">
        <f t="shared" si="2"/>
        <v>30979.334999999999</v>
      </c>
      <c r="J15" s="10">
        <f t="shared" si="3"/>
        <v>2096268.335</v>
      </c>
      <c r="K15" s="10">
        <f t="shared" si="4"/>
        <v>2096268.335</v>
      </c>
      <c r="L15" s="6">
        <v>90</v>
      </c>
      <c r="M15" s="8">
        <f>IF(OR(C15="",L15=""),"",C15+L15)</f>
        <v>46264</v>
      </c>
      <c r="N15" s="11">
        <f t="shared" ca="1" si="5"/>
        <v>-33</v>
      </c>
      <c r="O15" s="7" t="str">
        <f>IF(L15="","",L15&amp;" Day Due")</f>
        <v>90 Day Due</v>
      </c>
      <c r="P15" s="10">
        <f>IF(A15="","",SUMIFS('Partial Payment Log'!$E$4:$E$501,'Partial Payment Log'!$C$4:$C$501,A15))</f>
        <v>1000000</v>
      </c>
      <c r="Q15" s="10">
        <f>IF(A15="","",K15-P15)</f>
        <v>1096268.335</v>
      </c>
      <c r="R15" s="6" t="str">
        <f>IF(A15="","",IF(Q15&lt;=0,IF(Q15&lt;0,"Overpaid","Paid"),IF(P15&gt;0,"Part Paid","Unpaid")))</f>
        <v>Part Paid</v>
      </c>
    </row>
    <row r="16" spans="1:18" ht="15">
      <c r="A16" s="5" t="s">
        <v>102</v>
      </c>
      <c r="B16" s="5" t="s">
        <v>41</v>
      </c>
      <c r="C16" s="8">
        <v>46174</v>
      </c>
      <c r="D16" s="9">
        <v>151.64099999999999</v>
      </c>
      <c r="E16" s="10">
        <v>41500</v>
      </c>
      <c r="F16" s="10">
        <f t="shared" si="0"/>
        <v>6293101.5</v>
      </c>
      <c r="G16" s="9">
        <v>74.997</v>
      </c>
      <c r="H16" s="10">
        <f t="shared" si="1"/>
        <v>3112375.5</v>
      </c>
      <c r="I16" s="10">
        <f t="shared" si="2"/>
        <v>47710.89</v>
      </c>
      <c r="J16" s="10">
        <f t="shared" si="3"/>
        <v>3228436.89</v>
      </c>
      <c r="K16" s="10">
        <f t="shared" si="4"/>
        <v>3228436.89</v>
      </c>
      <c r="L16" s="6">
        <v>90</v>
      </c>
      <c r="M16" s="8">
        <f>IF(OR(C16="",L16=""),"",C16+L16)</f>
        <v>46264</v>
      </c>
      <c r="N16" s="11">
        <f t="shared" ca="1" si="5"/>
        <v>-33</v>
      </c>
      <c r="O16" s="7" t="str">
        <f>IF(L16="","",L16&amp;" Day Due")</f>
        <v>90 Day Due</v>
      </c>
      <c r="P16" s="10">
        <f>IF(A16="","",SUMIFS('Partial Payment Log'!$E$4:$E$501,'Partial Payment Log'!$C$4:$C$501,A16))</f>
        <v>0</v>
      </c>
      <c r="Q16" s="10">
        <f>IF(A16="","",K16-P16)</f>
        <v>3228436.89</v>
      </c>
      <c r="R16" s="6" t="str">
        <f>IF(A16="","",IF(Q16&lt;=0,IF(Q16&lt;0,"Overpaid","Paid"),IF(P16&gt;0,"Part Paid","Unpaid")))</f>
        <v>Unpaid</v>
      </c>
    </row>
    <row r="17" spans="1:18" ht="15">
      <c r="A17" s="5" t="s">
        <v>111</v>
      </c>
      <c r="B17" s="5" t="s">
        <v>36</v>
      </c>
      <c r="C17" s="8">
        <v>46113</v>
      </c>
      <c r="D17" s="9">
        <v>459.42771551724144</v>
      </c>
      <c r="E17" s="10">
        <v>40000</v>
      </c>
      <c r="F17" s="10">
        <f t="shared" si="0"/>
        <v>18377108.620689657</v>
      </c>
      <c r="G17" s="9">
        <v>0</v>
      </c>
      <c r="H17" s="10">
        <f t="shared" si="1"/>
        <v>0</v>
      </c>
      <c r="I17" s="10">
        <f t="shared" si="2"/>
        <v>275656.62931034481</v>
      </c>
      <c r="J17" s="10">
        <f t="shared" si="3"/>
        <v>18652765.25</v>
      </c>
      <c r="K17" s="10">
        <f t="shared" si="4"/>
        <v>18652765.25</v>
      </c>
      <c r="L17" s="6">
        <v>90</v>
      </c>
      <c r="M17" s="8">
        <f>IF(OR(C17="",L17=""),"",C17+L17)</f>
        <v>46203</v>
      </c>
      <c r="N17" s="11">
        <f t="shared" ca="1" si="5"/>
        <v>-94</v>
      </c>
      <c r="O17" s="7" t="str">
        <f>IF(L17="","",L17&amp;" Day Due")</f>
        <v>90 Day Due</v>
      </c>
      <c r="P17" s="10">
        <f>IF(A17="","",SUMIFS('Partial Payment Log'!$E$4:$E$501,'Partial Payment Log'!$C$4:$C$501,A17))</f>
        <v>22927511</v>
      </c>
      <c r="Q17" s="10">
        <f>IF(A17="","",K17-P17)</f>
        <v>-4274745.75</v>
      </c>
      <c r="R17" s="6" t="str">
        <f>IF(A17="","",IF(Q17&lt;=0,IF(Q17&lt;0,"Overpaid","Paid"),IF(P17&gt;0,"Part Paid","Unpaid")))</f>
        <v>Overpaid</v>
      </c>
    </row>
    <row r="18" spans="1:18" ht="15">
      <c r="A18" s="5">
        <v>3</v>
      </c>
      <c r="B18" s="5" t="s">
        <v>36</v>
      </c>
      <c r="C18" s="8">
        <v>46167</v>
      </c>
      <c r="D18" s="9">
        <v>102.105</v>
      </c>
      <c r="E18" s="10">
        <v>41000</v>
      </c>
      <c r="F18" s="10">
        <f>IF(OR(D18="",E18=""),"",D18*E18)</f>
        <v>4186305</v>
      </c>
      <c r="G18" s="9">
        <v>33.845006007449243</v>
      </c>
      <c r="H18" s="10">
        <f t="shared" si="1"/>
        <v>1387645.2463054189</v>
      </c>
      <c r="I18" s="10">
        <f t="shared" si="2"/>
        <v>41979.896305418712</v>
      </c>
      <c r="J18" s="10">
        <f t="shared" si="3"/>
        <v>2840639.6499999994</v>
      </c>
      <c r="K18" s="10">
        <f t="shared" si="4"/>
        <v>2840639.6499999994</v>
      </c>
      <c r="L18" s="6">
        <v>90</v>
      </c>
      <c r="M18" s="8">
        <f>IF(OR(C18="",L18=""),"",C18+L18)</f>
        <v>46257</v>
      </c>
      <c r="N18" s="11">
        <f t="shared" ca="1" si="5"/>
        <v>-40</v>
      </c>
      <c r="O18" s="7" t="str">
        <f>IF(L18="","",L18&amp;" Day Due")</f>
        <v>90 Day Due</v>
      </c>
      <c r="P18" s="10">
        <f>IF(A18="","",SUMIFS('Partial Payment Log'!$E$4:$E$501,'Partial Payment Log'!$C$4:$C$501,A18))</f>
        <v>0</v>
      </c>
      <c r="Q18" s="10">
        <f>IF(A18="","",K18-P18)</f>
        <v>2840639.6499999994</v>
      </c>
      <c r="R18" s="6" t="str">
        <f>IF(A18="","",IF(Q18&lt;=0,IF(Q18&lt;0,"Overpaid","Paid"),IF(P18&gt;0,"Part Paid","Unpaid")))</f>
        <v>Unpaid</v>
      </c>
    </row>
    <row r="19" spans="1:18" ht="15">
      <c r="A19" s="5">
        <v>4</v>
      </c>
      <c r="B19" s="5" t="s">
        <v>36</v>
      </c>
      <c r="C19" s="8">
        <v>46167</v>
      </c>
      <c r="D19" s="9">
        <v>38.67</v>
      </c>
      <c r="E19" s="10">
        <v>41000</v>
      </c>
      <c r="F19" s="10">
        <f t="shared" si="0"/>
        <v>1585470</v>
      </c>
      <c r="G19" s="9">
        <v>15.58</v>
      </c>
      <c r="H19" s="10">
        <f t="shared" si="1"/>
        <v>638780</v>
      </c>
      <c r="I19" s="10">
        <f t="shared" si="2"/>
        <v>14200.35</v>
      </c>
      <c r="J19" s="10">
        <f t="shared" si="3"/>
        <v>960890.35</v>
      </c>
      <c r="K19" s="10">
        <f t="shared" si="4"/>
        <v>960890.35</v>
      </c>
      <c r="L19" s="6">
        <v>90</v>
      </c>
      <c r="M19" s="8">
        <f>IF(OR(C19="",L19=""),"",C19+L19)</f>
        <v>46257</v>
      </c>
      <c r="N19" s="11">
        <f t="shared" ca="1" si="5"/>
        <v>-40</v>
      </c>
      <c r="O19" s="7" t="str">
        <f>IF(L19="","",L19&amp;" Day Due")</f>
        <v>90 Day Due</v>
      </c>
      <c r="P19" s="10">
        <f>IF(A19="","",SUMIFS('Partial Payment Log'!$E$4:$E$501,'Partial Payment Log'!$C$4:$C$501,A19))</f>
        <v>0</v>
      </c>
      <c r="Q19" s="10">
        <f>IF(A19="","",K19-P19)</f>
        <v>960890.35</v>
      </c>
      <c r="R19" s="6" t="str">
        <f>IF(A19="","",IF(Q19&lt;=0,IF(Q19&lt;0,"Overpaid","Paid"),IF(P19&gt;0,"Part Paid","Unpaid")))</f>
        <v>Unpaid</v>
      </c>
    </row>
    <row r="20" spans="1:18" ht="15">
      <c r="A20" s="5">
        <v>5</v>
      </c>
      <c r="B20" s="5" t="s">
        <v>36</v>
      </c>
      <c r="C20" s="8">
        <v>46180</v>
      </c>
      <c r="D20" s="9">
        <v>69.53</v>
      </c>
      <c r="E20" s="10">
        <v>41000</v>
      </c>
      <c r="F20" s="10">
        <f t="shared" si="0"/>
        <v>2850730</v>
      </c>
      <c r="G20" s="9">
        <v>0</v>
      </c>
      <c r="H20" s="10">
        <f t="shared" si="1"/>
        <v>0</v>
      </c>
      <c r="I20" s="10">
        <f t="shared" si="2"/>
        <v>42760.95</v>
      </c>
      <c r="J20" s="10">
        <f>IF(F20="","",(F20-H20)+I20)</f>
        <v>2893490.95</v>
      </c>
      <c r="K20" s="10">
        <f t="shared" si="4"/>
        <v>2893490.95</v>
      </c>
      <c r="L20" s="6">
        <v>90</v>
      </c>
      <c r="M20" s="8">
        <f>IF(OR(C20="",L20=""),"",C20+L20)</f>
        <v>46270</v>
      </c>
      <c r="N20" s="11">
        <f ca="1">IF(M20="","",M20-TODAY())</f>
        <v>-27</v>
      </c>
      <c r="O20" s="7" t="str">
        <f>IF(L20="","",L20&amp;" Day Due")</f>
        <v>90 Day Due</v>
      </c>
      <c r="P20" s="10">
        <f>IF(A20="","",SUMIFS('Partial Payment Log'!$E$4:$E$501,'Partial Payment Log'!$C$4:$C$501,A20))</f>
        <v>0</v>
      </c>
      <c r="Q20" s="10">
        <f>IF(A20="","",K20-P20)</f>
        <v>2893490.95</v>
      </c>
      <c r="R20" s="6" t="str">
        <f>IF(A20="","",IF(Q20&lt;=0,IF(Q20&lt;0,"Overpaid","Paid"),IF(P20&gt;0,"Part Paid","Unpaid")))</f>
        <v>Unpaid</v>
      </c>
    </row>
    <row r="21" spans="1:18" ht="15">
      <c r="A21" s="5">
        <v>6</v>
      </c>
      <c r="B21" s="5" t="s">
        <v>36</v>
      </c>
      <c r="C21" s="8">
        <v>46120</v>
      </c>
      <c r="D21" s="9">
        <v>0.45359605911330053</v>
      </c>
      <c r="E21" s="10">
        <v>40000</v>
      </c>
      <c r="F21" s="10">
        <f t="shared" si="0"/>
        <v>18143.842364532022</v>
      </c>
      <c r="G21" s="9">
        <v>0</v>
      </c>
      <c r="H21" s="10">
        <f t="shared" si="1"/>
        <v>0</v>
      </c>
      <c r="I21" s="10">
        <f t="shared" si="2"/>
        <v>272.1576354679803</v>
      </c>
      <c r="J21" s="10">
        <f t="shared" si="3"/>
        <v>18416.000000000004</v>
      </c>
      <c r="K21" s="10">
        <f t="shared" si="4"/>
        <v>18416.000000000004</v>
      </c>
      <c r="L21" s="6">
        <v>90</v>
      </c>
      <c r="M21" s="8">
        <f>IF(OR(C21="",L21=""),"",C21+L21)</f>
        <v>46210</v>
      </c>
      <c r="N21" s="11">
        <f t="shared" ca="1" si="5"/>
        <v>-87</v>
      </c>
      <c r="O21" s="7" t="str">
        <f>IF(L21="","",L21&amp;" Day Due")</f>
        <v>90 Day Due</v>
      </c>
      <c r="P21" s="10">
        <f>IF(A21="","",SUMIFS('Partial Payment Log'!$E$4:$E$501,'Partial Payment Log'!$C$4:$C$501,A21))</f>
        <v>0</v>
      </c>
      <c r="Q21" s="10">
        <f>IF(A21="","",K21-P21)</f>
        <v>18416.000000000004</v>
      </c>
      <c r="R21" s="6" t="str">
        <f>IF(A21="","",IF(Q21&lt;=0,IF(Q21&lt;0,"Overpaid","Paid"),IF(P21&gt;0,"Part Paid","Unpaid")))</f>
        <v>Unpaid</v>
      </c>
    </row>
    <row r="22" spans="1:18" ht="15">
      <c r="A22" s="5">
        <v>7</v>
      </c>
      <c r="B22" s="5" t="s">
        <v>36</v>
      </c>
      <c r="C22" s="8">
        <v>46147</v>
      </c>
      <c r="D22" s="9">
        <v>0.71467980295566502</v>
      </c>
      <c r="E22" s="10">
        <v>40000</v>
      </c>
      <c r="F22" s="10">
        <f t="shared" si="0"/>
        <v>28587.192118226601</v>
      </c>
      <c r="G22" s="9">
        <v>0</v>
      </c>
      <c r="H22" s="10">
        <f t="shared" si="1"/>
        <v>0</v>
      </c>
      <c r="I22" s="10">
        <f t="shared" si="2"/>
        <v>428.807881773399</v>
      </c>
      <c r="J22" s="10">
        <f t="shared" si="3"/>
        <v>29016</v>
      </c>
      <c r="K22" s="10">
        <f t="shared" si="4"/>
        <v>29016</v>
      </c>
      <c r="L22" s="6">
        <v>90</v>
      </c>
      <c r="M22" s="8">
        <f>IF(OR(C22="",L22=""),"",C22+L22)</f>
        <v>46237</v>
      </c>
      <c r="N22" s="11">
        <f t="shared" ca="1" si="5"/>
        <v>-60</v>
      </c>
      <c r="O22" s="7" t="str">
        <f>IF(L22="","",L22&amp;" Day Due")</f>
        <v>90 Day Due</v>
      </c>
      <c r="P22" s="10">
        <f>IF(A22="","",SUMIFS('Partial Payment Log'!$E$4:$E$501,'Partial Payment Log'!$C$4:$C$501,A22))</f>
        <v>0</v>
      </c>
      <c r="Q22" s="10">
        <f>IF(A22="","",K22-P22)</f>
        <v>29016</v>
      </c>
      <c r="R22" s="6" t="str">
        <f>IF(A22="","",IF(Q22&lt;=0,IF(Q22&lt;0,"Overpaid","Paid"),IF(P22&gt;0,"Part Paid","Unpaid")))</f>
        <v>Unpaid</v>
      </c>
    </row>
    <row r="23" spans="1:18" ht="15">
      <c r="A23" s="5">
        <v>8</v>
      </c>
      <c r="B23" s="5" t="s">
        <v>36</v>
      </c>
      <c r="C23" s="8">
        <v>46174</v>
      </c>
      <c r="D23" s="9">
        <v>3.5186206896551724</v>
      </c>
      <c r="E23" s="10">
        <v>40000</v>
      </c>
      <c r="F23" s="10">
        <f t="shared" si="0"/>
        <v>140744.8275862069</v>
      </c>
      <c r="G23" s="9">
        <v>0</v>
      </c>
      <c r="H23" s="10">
        <f t="shared" si="1"/>
        <v>0</v>
      </c>
      <c r="I23" s="10">
        <f t="shared" si="2"/>
        <v>2111.1724137931033</v>
      </c>
      <c r="J23" s="10">
        <f t="shared" si="3"/>
        <v>142856</v>
      </c>
      <c r="K23" s="10">
        <f t="shared" si="4"/>
        <v>142856</v>
      </c>
      <c r="L23" s="6">
        <v>90</v>
      </c>
      <c r="M23" s="8">
        <f>IF(OR(C23="",L23=""),"",C23+L23)</f>
        <v>46264</v>
      </c>
      <c r="N23" s="11">
        <f t="shared" ca="1" si="5"/>
        <v>-33</v>
      </c>
      <c r="O23" s="7" t="str">
        <f>IF(L23="","",L23&amp;" Day Due")</f>
        <v>90 Day Due</v>
      </c>
      <c r="P23" s="10">
        <f>IF(A23="","",SUMIFS('Partial Payment Log'!$E$4:$E$501,'Partial Payment Log'!$C$4:$C$501,A23))</f>
        <v>0</v>
      </c>
      <c r="Q23" s="10">
        <f>IF(A23="","",K23-P23)</f>
        <v>142856</v>
      </c>
      <c r="R23" s="6" t="str">
        <f>IF(A23="","",IF(Q23&lt;=0,IF(Q23&lt;0,"Overpaid","Paid"),IF(P23&gt;0,"Part Paid","Unpaid")))</f>
        <v>Unpaid</v>
      </c>
    </row>
    <row r="24" spans="1:18" ht="15">
      <c r="A24" s="5" t="s">
        <v>112</v>
      </c>
      <c r="B24" s="5" t="s">
        <v>39</v>
      </c>
      <c r="C24" s="8">
        <v>46113</v>
      </c>
      <c r="D24" s="9">
        <v>74.524906884536833</v>
      </c>
      <c r="E24" s="10">
        <v>41000</v>
      </c>
      <c r="F24" s="10">
        <f t="shared" si="0"/>
        <v>3055521.18226601</v>
      </c>
      <c r="G24" s="9">
        <v>0</v>
      </c>
      <c r="H24" s="10">
        <f t="shared" si="1"/>
        <v>0</v>
      </c>
      <c r="I24" s="10">
        <f t="shared" si="2"/>
        <v>45832.817733990145</v>
      </c>
      <c r="J24" s="10">
        <f t="shared" si="3"/>
        <v>3101354</v>
      </c>
      <c r="K24" s="10">
        <f t="shared" si="4"/>
        <v>3101354</v>
      </c>
      <c r="L24" s="6">
        <v>90</v>
      </c>
      <c r="M24" s="8">
        <f>IF(OR(C24="",L24=""),"",C24+L24)</f>
        <v>46203</v>
      </c>
      <c r="N24" s="11">
        <f t="shared" ca="1" si="5"/>
        <v>-94</v>
      </c>
      <c r="O24" s="7" t="str">
        <f>IF(L24="","",L24&amp;" Day Due")</f>
        <v>90 Day Due</v>
      </c>
      <c r="P24" s="10">
        <f>IF(A24="","",SUMIFS('Partial Payment Log'!$E$4:$E$501,'Partial Payment Log'!$C$4:$C$501,A24))</f>
        <v>3000000</v>
      </c>
      <c r="Q24" s="10">
        <f>IF(A24="","",K24-P24)</f>
        <v>101354</v>
      </c>
      <c r="R24" s="6" t="str">
        <f>IF(A24="","",IF(Q24&lt;=0,IF(Q24&lt;0,"Overpaid","Paid"),IF(P24&gt;0,"Part Paid","Unpaid")))</f>
        <v>Part Paid</v>
      </c>
    </row>
    <row r="25" spans="1:18" ht="15">
      <c r="A25" s="5">
        <v>1</v>
      </c>
      <c r="B25" s="5" t="s">
        <v>39</v>
      </c>
      <c r="C25" s="8">
        <v>46178</v>
      </c>
      <c r="D25" s="9">
        <v>76.78</v>
      </c>
      <c r="E25" s="10">
        <v>42000</v>
      </c>
      <c r="F25" s="10">
        <f t="shared" si="0"/>
        <v>3224760</v>
      </c>
      <c r="G25" s="9">
        <v>47.49</v>
      </c>
      <c r="H25" s="10">
        <f t="shared" si="1"/>
        <v>1994580</v>
      </c>
      <c r="I25" s="10">
        <f t="shared" si="2"/>
        <v>18452.7</v>
      </c>
      <c r="J25" s="10">
        <f t="shared" si="3"/>
        <v>1248632.7</v>
      </c>
      <c r="K25" s="10">
        <f t="shared" si="4"/>
        <v>1248632.7</v>
      </c>
      <c r="L25" s="6">
        <v>90</v>
      </c>
      <c r="M25" s="8">
        <f>IF(OR(C25="",L25=""),"",C25+L25)</f>
        <v>46268</v>
      </c>
      <c r="N25" s="11">
        <f t="shared" ca="1" si="5"/>
        <v>-29</v>
      </c>
      <c r="O25" s="7" t="str">
        <f>IF(L25="","",L25&amp;" Day Due")</f>
        <v>90 Day Due</v>
      </c>
      <c r="P25" s="10">
        <f>IF(A25="","",SUMIFS('Partial Payment Log'!$E$4:$E$501,'Partial Payment Log'!$C$4:$C$501,A25))</f>
        <v>0</v>
      </c>
      <c r="Q25" s="10">
        <f>IF(A25="","",K25-P25)</f>
        <v>1248632.7</v>
      </c>
      <c r="R25" s="6" t="str">
        <f>IF(A25="","",IF(Q25&lt;=0,IF(Q25&lt;0,"Overpaid","Paid"),IF(P25&gt;0,"Part Paid","Unpaid")))</f>
        <v>Unpaid</v>
      </c>
    </row>
    <row r="26" spans="1:18" ht="15">
      <c r="A26" s="5" t="s">
        <v>113</v>
      </c>
      <c r="B26" s="5" t="s">
        <v>42</v>
      </c>
      <c r="C26" s="8">
        <v>46113</v>
      </c>
      <c r="D26" s="9">
        <v>268.04094677399974</v>
      </c>
      <c r="E26" s="10">
        <v>41000</v>
      </c>
      <c r="F26" s="10">
        <f t="shared" si="0"/>
        <v>10989678.81773399</v>
      </c>
      <c r="G26" s="9">
        <v>0</v>
      </c>
      <c r="H26" s="10">
        <f t="shared" si="1"/>
        <v>0</v>
      </c>
      <c r="I26" s="10">
        <f t="shared" si="2"/>
        <v>164845.18226600986</v>
      </c>
      <c r="J26" s="10">
        <f t="shared" si="3"/>
        <v>11154524</v>
      </c>
      <c r="K26" s="10">
        <f t="shared" si="4"/>
        <v>11154524</v>
      </c>
      <c r="L26" s="6">
        <v>90</v>
      </c>
      <c r="M26" s="8">
        <f>IF(OR(C26="",L26=""),"",C26+L26)</f>
        <v>46203</v>
      </c>
      <c r="N26" s="11">
        <f t="shared" ca="1" si="5"/>
        <v>-94</v>
      </c>
      <c r="O26" s="7" t="str">
        <f>IF(L26="","",L26&amp;" Day Due")</f>
        <v>90 Day Due</v>
      </c>
      <c r="P26" s="10">
        <f>IF(A26="","",SUMIFS('Partial Payment Log'!$E$4:$E$501,'Partial Payment Log'!$C$4:$C$501,A26))</f>
        <v>12989944</v>
      </c>
      <c r="Q26" s="10">
        <f>IF(A26="","",K26-P26)</f>
        <v>-1835420</v>
      </c>
      <c r="R26" s="6" t="str">
        <f>IF(A26="","",IF(Q26&lt;=0,IF(Q26&lt;0,"Overpaid","Paid"),IF(P26&gt;0,"Part Paid","Unpaid")))</f>
        <v>Overpaid</v>
      </c>
    </row>
    <row r="27" spans="1:18" ht="15">
      <c r="A27" s="5" t="s">
        <v>114</v>
      </c>
      <c r="B27" s="5" t="s">
        <v>42</v>
      </c>
      <c r="C27" s="8">
        <v>46168</v>
      </c>
      <c r="D27" s="9">
        <v>165.91200000000001</v>
      </c>
      <c r="E27" s="10">
        <v>41500</v>
      </c>
      <c r="F27" s="10">
        <f t="shared" si="0"/>
        <v>6885348</v>
      </c>
      <c r="G27" s="9">
        <v>0</v>
      </c>
      <c r="H27" s="10">
        <f t="shared" si="1"/>
        <v>0</v>
      </c>
      <c r="I27" s="10">
        <f t="shared" si="2"/>
        <v>103280.22</v>
      </c>
      <c r="J27" s="10">
        <f t="shared" si="3"/>
        <v>6988628.2199999997</v>
      </c>
      <c r="K27" s="10">
        <f t="shared" si="4"/>
        <v>6988628.2199999997</v>
      </c>
      <c r="L27" s="6">
        <v>90</v>
      </c>
      <c r="M27" s="8">
        <f>IF(OR(C27="",L27=""),"",C27+L27)</f>
        <v>46258</v>
      </c>
      <c r="N27" s="11">
        <f t="shared" ca="1" si="5"/>
        <v>-39</v>
      </c>
      <c r="O27" s="7" t="str">
        <f>IF(L27="","",L27&amp;" Day Due")</f>
        <v>90 Day Due</v>
      </c>
      <c r="P27" s="10">
        <f>IF(A27="","",SUMIFS('Partial Payment Log'!$E$4:$E$501,'Partial Payment Log'!$C$4:$C$501,A27))</f>
        <v>0</v>
      </c>
      <c r="Q27" s="10">
        <f>IF(A27="","",K27-P27)</f>
        <v>6988628.2199999997</v>
      </c>
      <c r="R27" s="6" t="str">
        <f>IF(A27="","",IF(Q27&lt;=0,IF(Q27&lt;0,"Overpaid","Paid"),IF(P27&gt;0,"Part Paid","Unpaid")))</f>
        <v>Unpaid</v>
      </c>
    </row>
    <row r="28" spans="1:18" ht="15">
      <c r="A28" s="5" t="s">
        <v>115</v>
      </c>
      <c r="B28" s="5" t="s">
        <v>42</v>
      </c>
      <c r="C28" s="8">
        <v>46178</v>
      </c>
      <c r="D28" s="9">
        <v>22.4</v>
      </c>
      <c r="E28" s="10">
        <v>41000</v>
      </c>
      <c r="F28" s="10">
        <f t="shared" si="0"/>
        <v>918399.99999999988</v>
      </c>
      <c r="G28" s="9">
        <v>0</v>
      </c>
      <c r="H28" s="10">
        <f t="shared" si="1"/>
        <v>0</v>
      </c>
      <c r="I28" s="10">
        <f t="shared" si="2"/>
        <v>13775.999999999998</v>
      </c>
      <c r="J28" s="10">
        <f t="shared" si="3"/>
        <v>932175.99999999988</v>
      </c>
      <c r="K28" s="10">
        <f t="shared" si="4"/>
        <v>932175.99999999988</v>
      </c>
      <c r="L28" s="6">
        <v>90</v>
      </c>
      <c r="M28" s="8">
        <f>IF(OR(C28="",L28=""),"",C28+L28)</f>
        <v>46268</v>
      </c>
      <c r="N28" s="11">
        <f t="shared" ca="1" si="5"/>
        <v>-29</v>
      </c>
      <c r="O28" s="7" t="str">
        <f>IF(L28="","",L28&amp;" Day Due")</f>
        <v>90 Day Due</v>
      </c>
      <c r="P28" s="10">
        <f>IF(A28="","",SUMIFS('Partial Payment Log'!$E$4:$E$501,'Partial Payment Log'!$C$4:$C$501,A28))</f>
        <v>0</v>
      </c>
      <c r="Q28" s="10">
        <f>IF(A28="","",K28-P28)</f>
        <v>932175.99999999988</v>
      </c>
      <c r="R28" s="6" t="str">
        <f>IF(A28="","",IF(Q28&lt;=0,IF(Q28&lt;0,"Overpaid","Paid"),IF(P28&gt;0,"Part Paid","Unpaid")))</f>
        <v>Unpaid</v>
      </c>
    </row>
    <row r="29" spans="1:18" ht="15">
      <c r="A29" s="5" t="s">
        <v>116</v>
      </c>
      <c r="B29" s="5" t="s">
        <v>42</v>
      </c>
      <c r="C29" s="8">
        <v>46178</v>
      </c>
      <c r="D29" s="9">
        <v>15</v>
      </c>
      <c r="E29" s="10">
        <v>34000</v>
      </c>
      <c r="F29" s="10">
        <f t="shared" si="0"/>
        <v>510000</v>
      </c>
      <c r="G29" s="9">
        <v>0</v>
      </c>
      <c r="H29" s="10">
        <f t="shared" si="1"/>
        <v>0</v>
      </c>
      <c r="I29" s="10">
        <f t="shared" si="2"/>
        <v>7650</v>
      </c>
      <c r="J29" s="10">
        <f t="shared" si="3"/>
        <v>517650</v>
      </c>
      <c r="K29" s="10">
        <f t="shared" si="4"/>
        <v>517650</v>
      </c>
      <c r="L29" s="6">
        <v>90</v>
      </c>
      <c r="M29" s="8">
        <f>IF(OR(C29="",L29=""),"",C29+L29)</f>
        <v>46268</v>
      </c>
      <c r="N29" s="11">
        <f t="shared" ca="1" si="5"/>
        <v>-29</v>
      </c>
      <c r="O29" s="7" t="str">
        <f>IF(L29="","",L29&amp;" Day Due")</f>
        <v>90 Day Due</v>
      </c>
      <c r="P29" s="10">
        <f>IF(A29="","",SUMIFS('Partial Payment Log'!$E$4:$E$501,'Partial Payment Log'!$C$4:$C$501,A29))</f>
        <v>0</v>
      </c>
      <c r="Q29" s="10">
        <f>IF(A29="","",K29-P29)</f>
        <v>517650</v>
      </c>
      <c r="R29" s="6" t="str">
        <f>IF(A29="","",IF(Q29&lt;=0,IF(Q29&lt;0,"Overpaid","Paid"),IF(P29&gt;0,"Part Paid","Unpaid")))</f>
        <v>Unpaid</v>
      </c>
    </row>
    <row r="30" spans="1:18" ht="15">
      <c r="A30" s="5" t="s">
        <v>117</v>
      </c>
      <c r="B30" s="5" t="s">
        <v>42</v>
      </c>
      <c r="C30" s="8">
        <v>46178</v>
      </c>
      <c r="D30" s="9">
        <v>12.2</v>
      </c>
      <c r="E30" s="10">
        <v>43000</v>
      </c>
      <c r="F30" s="10">
        <f>IF(OR(D30="",E30=""),"",D30*E30)</f>
        <v>524600</v>
      </c>
      <c r="G30" s="9">
        <v>2.89</v>
      </c>
      <c r="H30" s="10">
        <f t="shared" si="1"/>
        <v>124270</v>
      </c>
      <c r="I30" s="10">
        <f t="shared" si="2"/>
        <v>6004.95</v>
      </c>
      <c r="J30" s="10">
        <f t="shared" si="3"/>
        <v>406334.95</v>
      </c>
      <c r="K30" s="10">
        <f t="shared" si="4"/>
        <v>406334.95</v>
      </c>
      <c r="L30" s="6">
        <v>90</v>
      </c>
      <c r="M30" s="8">
        <f>IF(OR(C30="",L30=""),"",C30+L30)</f>
        <v>46268</v>
      </c>
      <c r="N30" s="11">
        <f t="shared" ca="1" si="5"/>
        <v>-29</v>
      </c>
      <c r="O30" s="7" t="str">
        <f>IF(L30="","",L30&amp;" Day Due")</f>
        <v>90 Day Due</v>
      </c>
      <c r="P30" s="10">
        <f>IF(A30="","",SUMIFS('Partial Payment Log'!$E$4:$E$501,'Partial Payment Log'!$C$4:$C$501,A30))</f>
        <v>0</v>
      </c>
      <c r="Q30" s="10">
        <f>IF(A30="","",K30-P30)</f>
        <v>406334.95</v>
      </c>
      <c r="R30" s="6" t="str">
        <f>IF(A30="","",IF(Q30&lt;=0,IF(Q30&lt;0,"Overpaid","Paid"),IF(P30&gt;0,"Part Paid","Unpaid")))</f>
        <v>Unpaid</v>
      </c>
    </row>
    <row r="31" spans="1:18" ht="15">
      <c r="A31" s="5" t="s">
        <v>118</v>
      </c>
      <c r="B31" s="5" t="s">
        <v>42</v>
      </c>
      <c r="C31" s="8">
        <v>46189</v>
      </c>
      <c r="D31" s="9">
        <v>5.29</v>
      </c>
      <c r="E31" s="10">
        <v>54000</v>
      </c>
      <c r="F31" s="10">
        <f t="shared" si="0"/>
        <v>285660</v>
      </c>
      <c r="G31" s="9">
        <v>2.59</v>
      </c>
      <c r="H31" s="10">
        <f t="shared" si="1"/>
        <v>139860</v>
      </c>
      <c r="I31" s="10">
        <f t="shared" si="2"/>
        <v>2187</v>
      </c>
      <c r="J31" s="10">
        <f t="shared" si="3"/>
        <v>147987</v>
      </c>
      <c r="K31" s="10">
        <f t="shared" si="4"/>
        <v>147987</v>
      </c>
      <c r="L31" s="6">
        <v>90</v>
      </c>
      <c r="M31" s="8">
        <f>IF(OR(C31="",L31=""),"",C31+L31)</f>
        <v>46279</v>
      </c>
      <c r="N31" s="11">
        <f t="shared" ca="1" si="5"/>
        <v>-18</v>
      </c>
      <c r="O31" s="7" t="str">
        <f>IF(L31="","",L31&amp;" Day Due")</f>
        <v>90 Day Due</v>
      </c>
      <c r="P31" s="10">
        <f>IF(A31="","",SUMIFS('Partial Payment Log'!$E$4:$E$501,'Partial Payment Log'!$C$4:$C$501,A31))</f>
        <v>0</v>
      </c>
      <c r="Q31" s="10">
        <f>IF(A31="","",K31-P31)</f>
        <v>147987</v>
      </c>
      <c r="R31" s="6" t="str">
        <f>IF(A31="","",IF(Q31&lt;=0,IF(Q31&lt;0,"Overpaid","Paid"),IF(P31&gt;0,"Part Paid","Unpaid")))</f>
        <v>Unpaid</v>
      </c>
    </row>
    <row r="32" spans="1:18" ht="15">
      <c r="A32" s="5" t="s">
        <v>119</v>
      </c>
      <c r="B32" s="5" t="s">
        <v>42</v>
      </c>
      <c r="C32" s="8">
        <v>46189</v>
      </c>
      <c r="D32" s="9">
        <v>7.383</v>
      </c>
      <c r="E32" s="10">
        <v>70000</v>
      </c>
      <c r="F32" s="10">
        <f t="shared" si="0"/>
        <v>516810</v>
      </c>
      <c r="G32" s="9">
        <v>4.01</v>
      </c>
      <c r="H32" s="10">
        <f t="shared" si="1"/>
        <v>280700</v>
      </c>
      <c r="I32" s="10">
        <f t="shared" si="2"/>
        <v>3541.65</v>
      </c>
      <c r="J32" s="10">
        <f t="shared" si="3"/>
        <v>239651.65</v>
      </c>
      <c r="K32" s="10">
        <f t="shared" si="4"/>
        <v>239651.65</v>
      </c>
      <c r="L32" s="6">
        <v>90</v>
      </c>
      <c r="M32" s="8">
        <f>IF(OR(C32="",L32=""),"",C32+L32)</f>
        <v>46279</v>
      </c>
      <c r="N32" s="11">
        <f t="shared" ca="1" si="5"/>
        <v>-18</v>
      </c>
      <c r="O32" s="7" t="str">
        <f>IF(L32="","",L32&amp;" Day Due")</f>
        <v>90 Day Due</v>
      </c>
      <c r="P32" s="10">
        <f>IF(A32="","",SUMIFS('Partial Payment Log'!$E$4:$E$501,'Partial Payment Log'!$C$4:$C$501,A32))</f>
        <v>0</v>
      </c>
      <c r="Q32" s="10">
        <f>IF(A32="","",K32-P32)</f>
        <v>239651.65</v>
      </c>
      <c r="R32" s="6" t="str">
        <f>IF(A32="","",IF(Q32&lt;=0,IF(Q32&lt;0,"Overpaid","Paid"),IF(P32&gt;0,"Part Paid","Unpaid")))</f>
        <v>Unpaid</v>
      </c>
    </row>
    <row r="33" spans="1:18" ht="15">
      <c r="A33" s="5" t="s">
        <v>120</v>
      </c>
      <c r="B33" s="5" t="s">
        <v>42</v>
      </c>
      <c r="C33" s="8">
        <v>46189</v>
      </c>
      <c r="D33" s="9">
        <v>1.35</v>
      </c>
      <c r="E33" s="10">
        <v>62000</v>
      </c>
      <c r="F33" s="10">
        <f t="shared" si="0"/>
        <v>83700</v>
      </c>
      <c r="G33" s="9">
        <v>0.51</v>
      </c>
      <c r="H33" s="10">
        <f t="shared" si="1"/>
        <v>31620</v>
      </c>
      <c r="I33" s="10">
        <f t="shared" si="2"/>
        <v>781.19999999999993</v>
      </c>
      <c r="J33" s="10">
        <f t="shared" si="3"/>
        <v>52861.2</v>
      </c>
      <c r="K33" s="10">
        <f t="shared" si="4"/>
        <v>52861.2</v>
      </c>
      <c r="L33" s="6">
        <v>90</v>
      </c>
      <c r="M33" s="8">
        <f>IF(OR(C33="",L33=""),"",C33+L33)</f>
        <v>46279</v>
      </c>
      <c r="N33" s="11">
        <f t="shared" ca="1" si="5"/>
        <v>-18</v>
      </c>
      <c r="O33" s="7" t="str">
        <f>IF(L33="","",L33&amp;" Day Due")</f>
        <v>90 Day Due</v>
      </c>
      <c r="P33" s="10">
        <f>IF(A33="","",SUMIFS('Partial Payment Log'!$E$4:$E$501,'Partial Payment Log'!$C$4:$C$501,A33))</f>
        <v>0</v>
      </c>
      <c r="Q33" s="10">
        <f>IF(A33="","",K33-P33)</f>
        <v>52861.2</v>
      </c>
      <c r="R33" s="6" t="str">
        <f>IF(A33="","",IF(Q33&lt;=0,IF(Q33&lt;0,"Overpaid","Paid"),IF(P33&gt;0,"Part Paid","Unpaid")))</f>
        <v>Unpaid</v>
      </c>
    </row>
    <row r="34" spans="1:18" ht="15">
      <c r="A34" s="5" t="s">
        <v>121</v>
      </c>
      <c r="B34" s="5" t="s">
        <v>42</v>
      </c>
      <c r="C34" s="8">
        <v>46190</v>
      </c>
      <c r="D34" s="9">
        <v>40.290999999999997</v>
      </c>
      <c r="E34" s="10">
        <v>41500</v>
      </c>
      <c r="F34" s="10">
        <f t="shared" si="0"/>
        <v>1672076.4999999998</v>
      </c>
      <c r="G34" s="9">
        <v>22.27</v>
      </c>
      <c r="H34" s="10">
        <f t="shared" si="1"/>
        <v>924205</v>
      </c>
      <c r="I34" s="10">
        <f t="shared" si="2"/>
        <v>11218.072499999997</v>
      </c>
      <c r="J34" s="10">
        <f t="shared" si="3"/>
        <v>759089.57249999978</v>
      </c>
      <c r="K34" s="10">
        <f t="shared" si="4"/>
        <v>759089.57249999978</v>
      </c>
      <c r="L34" s="6">
        <v>90</v>
      </c>
      <c r="M34" s="8">
        <f>IF(OR(C34="",L34=""),"",C34+L34)</f>
        <v>46280</v>
      </c>
      <c r="N34" s="11">
        <f t="shared" ca="1" si="5"/>
        <v>-17</v>
      </c>
      <c r="O34" s="7" t="str">
        <f>IF(L34="","",L34&amp;" Day Due")</f>
        <v>90 Day Due</v>
      </c>
      <c r="P34" s="10">
        <f>IF(A34="","",SUMIFS('Partial Payment Log'!$E$4:$E$501,'Partial Payment Log'!$C$4:$C$501,A34))</f>
        <v>0</v>
      </c>
      <c r="Q34" s="10">
        <f>IF(A34="","",K34-P34)</f>
        <v>759089.57249999978</v>
      </c>
      <c r="R34" s="6" t="str">
        <f>IF(A34="","",IF(Q34&lt;=0,IF(Q34&lt;0,"Overpaid","Paid"),IF(P34&gt;0,"Part Paid","Unpaid")))</f>
        <v>Unpaid</v>
      </c>
    </row>
    <row r="35" spans="1:18" ht="15">
      <c r="A35" s="5" t="s">
        <v>122</v>
      </c>
      <c r="B35" s="5" t="s">
        <v>42</v>
      </c>
      <c r="C35" s="8">
        <v>46196</v>
      </c>
      <c r="D35" s="9">
        <v>7.91</v>
      </c>
      <c r="E35" s="10">
        <v>43000</v>
      </c>
      <c r="F35" s="10">
        <f t="shared" si="0"/>
        <v>340130</v>
      </c>
      <c r="G35" s="9">
        <v>2.31</v>
      </c>
      <c r="H35" s="10">
        <f t="shared" si="1"/>
        <v>99330</v>
      </c>
      <c r="I35" s="10">
        <f t="shared" si="2"/>
        <v>3612</v>
      </c>
      <c r="J35" s="10">
        <f t="shared" si="3"/>
        <v>244412</v>
      </c>
      <c r="K35" s="10">
        <f t="shared" si="4"/>
        <v>244412</v>
      </c>
      <c r="L35" s="6">
        <v>90</v>
      </c>
      <c r="M35" s="8">
        <f>IF(OR(C35="",L35=""),"",C35+L35)</f>
        <v>46286</v>
      </c>
      <c r="N35" s="11">
        <f t="shared" ca="1" si="5"/>
        <v>-11</v>
      </c>
      <c r="O35" s="7" t="str">
        <f>IF(L35="","",L35&amp;" Day Due")</f>
        <v>90 Day Due</v>
      </c>
      <c r="P35" s="10">
        <f>IF(A35="","",SUMIFS('Partial Payment Log'!$E$4:$E$501,'Partial Payment Log'!$C$4:$C$501,A35))</f>
        <v>0</v>
      </c>
      <c r="Q35" s="10">
        <f>IF(A35="","",K35-P35)</f>
        <v>244412</v>
      </c>
      <c r="R35" s="6" t="str">
        <f>IF(A35="","",IF(Q35&lt;=0,IF(Q35&lt;0,"Overpaid","Paid"),IF(P35&gt;0,"Part Paid","Unpaid")))</f>
        <v>Unpaid</v>
      </c>
    </row>
    <row r="36" spans="1:18" ht="15">
      <c r="A36" s="5" t="s">
        <v>123</v>
      </c>
      <c r="B36" s="5" t="s">
        <v>42</v>
      </c>
      <c r="C36" s="8">
        <v>46196</v>
      </c>
      <c r="D36" s="9">
        <v>11.04</v>
      </c>
      <c r="E36" s="10">
        <v>43000</v>
      </c>
      <c r="F36" s="10">
        <f t="shared" si="0"/>
        <v>474719.99999999994</v>
      </c>
      <c r="G36" s="9">
        <v>5.2</v>
      </c>
      <c r="H36" s="10">
        <f t="shared" si="1"/>
        <v>223600</v>
      </c>
      <c r="I36" s="10">
        <f t="shared" si="2"/>
        <v>3766.7999999999988</v>
      </c>
      <c r="J36" s="10">
        <f t="shared" si="3"/>
        <v>254886.79999999993</v>
      </c>
      <c r="K36" s="10">
        <f t="shared" si="4"/>
        <v>254886.79999999993</v>
      </c>
      <c r="L36" s="6">
        <v>90</v>
      </c>
      <c r="M36" s="8">
        <f>IF(OR(C36="",L36=""),"",C36+L36)</f>
        <v>46286</v>
      </c>
      <c r="N36" s="11">
        <f t="shared" ca="1" si="5"/>
        <v>-11</v>
      </c>
      <c r="O36" s="7" t="str">
        <f>IF(L36="","",L36&amp;" Day Due")</f>
        <v>90 Day Due</v>
      </c>
      <c r="P36" s="10">
        <f>IF(A36="","",SUMIFS('Partial Payment Log'!$E$4:$E$501,'Partial Payment Log'!$C$4:$C$501,A36))</f>
        <v>0</v>
      </c>
      <c r="Q36" s="10">
        <f>IF(A36="","",K36-P36)</f>
        <v>254886.79999999993</v>
      </c>
      <c r="R36" s="6" t="str">
        <f>IF(A36="","",IF(Q36&lt;=0,IF(Q36&lt;0,"Overpaid","Paid"),IF(P36&gt;0,"Part Paid","Unpaid")))</f>
        <v>Unpaid</v>
      </c>
    </row>
    <row r="37" spans="1:18" ht="15">
      <c r="A37" s="5" t="s">
        <v>124</v>
      </c>
      <c r="B37" s="5" t="s">
        <v>42</v>
      </c>
      <c r="C37" s="8">
        <v>46196</v>
      </c>
      <c r="D37" s="9">
        <v>9</v>
      </c>
      <c r="E37" s="10">
        <v>49000</v>
      </c>
      <c r="F37" s="10">
        <f t="shared" si="0"/>
        <v>441000</v>
      </c>
      <c r="G37" s="9">
        <v>4.12</v>
      </c>
      <c r="H37" s="10">
        <f t="shared" si="1"/>
        <v>201880</v>
      </c>
      <c r="I37" s="10">
        <f t="shared" si="2"/>
        <v>3586.7999999999997</v>
      </c>
      <c r="J37" s="10">
        <f t="shared" si="3"/>
        <v>242706.8</v>
      </c>
      <c r="K37" s="10">
        <f t="shared" si="4"/>
        <v>242706.8</v>
      </c>
      <c r="L37" s="6">
        <v>90</v>
      </c>
      <c r="M37" s="8">
        <f>IF(OR(C37="",L37=""),"",C37+L37)</f>
        <v>46286</v>
      </c>
      <c r="N37" s="11">
        <f t="shared" ca="1" si="5"/>
        <v>-11</v>
      </c>
      <c r="O37" s="7" t="str">
        <f>IF(L37="","",L37&amp;" Day Due")</f>
        <v>90 Day Due</v>
      </c>
      <c r="P37" s="10">
        <f>IF(A37="","",SUMIFS('Partial Payment Log'!$E$4:$E$501,'Partial Payment Log'!$C$4:$C$501,A37))</f>
        <v>0</v>
      </c>
      <c r="Q37" s="10">
        <f>IF(A37="","",K37-P37)</f>
        <v>242706.8</v>
      </c>
      <c r="R37" s="6" t="str">
        <f>IF(A37="","",IF(Q37&lt;=0,IF(Q37&lt;0,"Overpaid","Paid"),IF(P37&gt;0,"Part Paid","Unpaid")))</f>
        <v>Unpaid</v>
      </c>
    </row>
    <row r="38" spans="1:18" ht="15">
      <c r="A38" s="5" t="s">
        <v>125</v>
      </c>
      <c r="B38" s="5" t="s">
        <v>42</v>
      </c>
      <c r="C38" s="8">
        <v>46196</v>
      </c>
      <c r="D38" s="9">
        <v>2.5299999999999998</v>
      </c>
      <c r="E38" s="10">
        <v>49000</v>
      </c>
      <c r="F38" s="10">
        <f t="shared" si="0"/>
        <v>123969.99999999999</v>
      </c>
      <c r="G38" s="9">
        <v>1.3</v>
      </c>
      <c r="H38" s="10">
        <f t="shared" si="1"/>
        <v>63700</v>
      </c>
      <c r="I38" s="10">
        <f t="shared" si="2"/>
        <v>904.04999999999973</v>
      </c>
      <c r="J38" s="10">
        <f t="shared" si="3"/>
        <v>61174.049999999988</v>
      </c>
      <c r="K38" s="10">
        <f t="shared" si="4"/>
        <v>61174.049999999988</v>
      </c>
      <c r="L38" s="6">
        <v>90</v>
      </c>
      <c r="M38" s="8">
        <f>IF(OR(C38="",L38=""),"",C38+L38)</f>
        <v>46286</v>
      </c>
      <c r="N38" s="11">
        <f t="shared" ca="1" si="5"/>
        <v>-11</v>
      </c>
      <c r="O38" s="7" t="str">
        <f>IF(L38="","",L38&amp;" Day Due")</f>
        <v>90 Day Due</v>
      </c>
      <c r="P38" s="10">
        <f>IF(A38="","",SUMIFS('Partial Payment Log'!$E$4:$E$501,'Partial Payment Log'!$C$4:$C$501,A38))</f>
        <v>0</v>
      </c>
      <c r="Q38" s="10">
        <f>IF(A38="","",K38-P38)</f>
        <v>61174.049999999988</v>
      </c>
      <c r="R38" s="6" t="str">
        <f>IF(A38="","",IF(Q38&lt;=0,IF(Q38&lt;0,"Overpaid","Paid"),IF(P38&gt;0,"Part Paid","Unpaid")))</f>
        <v>Unpaid</v>
      </c>
    </row>
    <row r="39" spans="1:18" ht="17" customHeight="1">
      <c r="A39" s="5" t="s">
        <v>126</v>
      </c>
      <c r="B39" s="21" t="s">
        <v>37</v>
      </c>
      <c r="C39" s="8">
        <v>46041</v>
      </c>
      <c r="D39" s="27">
        <v>108.47</v>
      </c>
      <c r="E39" s="10">
        <v>42000</v>
      </c>
      <c r="F39" s="10">
        <f t="shared" si="0"/>
        <v>4555740</v>
      </c>
      <c r="G39" s="9">
        <v>0</v>
      </c>
      <c r="H39" s="10">
        <f t="shared" si="1"/>
        <v>0</v>
      </c>
      <c r="I39" s="10">
        <f t="shared" si="2"/>
        <v>68336.099999999991</v>
      </c>
      <c r="J39" s="10">
        <f t="shared" si="3"/>
        <v>4624076.0999999996</v>
      </c>
      <c r="K39" s="23">
        <f t="shared" si="4"/>
        <v>4624076.0999999996</v>
      </c>
      <c r="L39" s="6">
        <v>90</v>
      </c>
      <c r="M39" s="8">
        <f>IF(OR(C39="",L39=""),"",C39+L39)</f>
        <v>46131</v>
      </c>
      <c r="N39" s="11">
        <f t="shared" ca="1" si="5"/>
        <v>-166</v>
      </c>
      <c r="O39" s="7" t="str">
        <f>IF(L39="","",L39&amp;" Day Due")</f>
        <v>90 Day Due</v>
      </c>
      <c r="P39" s="10">
        <f>IF(A39="","",SUMIFS('Partial Payment Log'!$E$4:$E$501,'Partial Payment Log'!$C$4:$C$501,A39))</f>
        <v>1000000</v>
      </c>
      <c r="Q39" s="10">
        <f>IF(A39="","",K39-P39)</f>
        <v>3624076.0999999996</v>
      </c>
      <c r="R39" s="6" t="str">
        <f>IF(A39="","",IF(Q39&lt;=0,IF(Q39&lt;0,"Overpaid","Paid"),IF(P39&gt;0,"Part Paid","Unpaid")))</f>
        <v>Part Paid</v>
      </c>
    </row>
    <row r="40" spans="1:18" ht="15">
      <c r="A40" s="5" t="s">
        <v>127</v>
      </c>
      <c r="B40" s="21" t="s">
        <v>37</v>
      </c>
      <c r="C40" s="8">
        <v>46113</v>
      </c>
      <c r="D40" s="27">
        <v>101.23</v>
      </c>
      <c r="E40" s="10">
        <v>42000</v>
      </c>
      <c r="F40" s="10">
        <f t="shared" si="0"/>
        <v>4251660</v>
      </c>
      <c r="G40" s="9">
        <v>0</v>
      </c>
      <c r="H40" s="10">
        <f t="shared" si="1"/>
        <v>0</v>
      </c>
      <c r="I40" s="10">
        <f t="shared" si="2"/>
        <v>63774.899999999994</v>
      </c>
      <c r="J40" s="10">
        <f t="shared" si="3"/>
        <v>4315434.9000000004</v>
      </c>
      <c r="K40" s="22">
        <f t="shared" si="4"/>
        <v>4315434.9000000004</v>
      </c>
      <c r="L40" s="6">
        <v>90</v>
      </c>
      <c r="M40" s="8">
        <f>IF(OR(C40="",L40=""),"",C40+L40)</f>
        <v>46203</v>
      </c>
      <c r="N40" s="11">
        <f t="shared" ca="1" si="5"/>
        <v>-94</v>
      </c>
      <c r="O40" s="7" t="str">
        <f>IF(L40="","",L40&amp;" Day Due")</f>
        <v>90 Day Due</v>
      </c>
      <c r="P40" s="10">
        <f>IF(A40="","",SUMIFS('Partial Payment Log'!$E$4:$E$501,'Partial Payment Log'!$C$4:$C$501,A40))</f>
        <v>6000000</v>
      </c>
      <c r="Q40" s="10">
        <f>IF(A40="","",K40-P40)</f>
        <v>-1684565.0999999996</v>
      </c>
      <c r="R40" s="6" t="str">
        <f>IF(A40="","",IF(Q40&lt;=0,IF(Q40&lt;0,"Overpaid","Paid"),IF(P40&gt;0,"Part Paid","Unpaid")))</f>
        <v>Overpaid</v>
      </c>
    </row>
    <row r="41" spans="1:18" ht="15">
      <c r="A41" s="5" t="s">
        <v>128</v>
      </c>
      <c r="B41" s="21" t="s">
        <v>37</v>
      </c>
      <c r="C41" s="8">
        <v>46115</v>
      </c>
      <c r="D41" s="9">
        <v>51.35</v>
      </c>
      <c r="E41" s="10">
        <v>42000</v>
      </c>
      <c r="F41" s="10">
        <f t="shared" si="0"/>
        <v>2156700</v>
      </c>
      <c r="G41" s="9">
        <v>0</v>
      </c>
      <c r="H41" s="10">
        <f t="shared" si="1"/>
        <v>0</v>
      </c>
      <c r="I41" s="10">
        <f t="shared" si="2"/>
        <v>32350.5</v>
      </c>
      <c r="J41" s="10">
        <f t="shared" si="3"/>
        <v>2189050.5</v>
      </c>
      <c r="K41" s="22">
        <f t="shared" si="4"/>
        <v>2189050.5</v>
      </c>
      <c r="L41" s="6">
        <v>90</v>
      </c>
      <c r="M41" s="8">
        <f>IF(OR(C41="",L41=""),"",C41+L41)</f>
        <v>46205</v>
      </c>
      <c r="N41" s="11">
        <f t="shared" ca="1" si="5"/>
        <v>-92</v>
      </c>
      <c r="O41" s="7" t="str">
        <f>IF(L41="","",L41&amp;" Day Due")</f>
        <v>90 Day Due</v>
      </c>
      <c r="P41" s="10">
        <f>IF(A41="","",SUMIFS('Partial Payment Log'!$E$4:$E$501,'Partial Payment Log'!$C$4:$C$501,A41))</f>
        <v>3000000</v>
      </c>
      <c r="Q41" s="10">
        <f>IF(A41="","",K41-P41)</f>
        <v>-810949.5</v>
      </c>
      <c r="R41" s="6" t="str">
        <f>IF(A41="","",IF(Q41&lt;=0,IF(Q41&lt;0,"Overpaid","Paid"),IF(P41&gt;0,"Part Paid","Unpaid")))</f>
        <v>Overpaid</v>
      </c>
    </row>
    <row r="42" spans="1:18" ht="15">
      <c r="A42" s="5" t="s">
        <v>129</v>
      </c>
      <c r="B42" s="21" t="s">
        <v>37</v>
      </c>
      <c r="C42" s="8">
        <v>46136</v>
      </c>
      <c r="D42" s="9">
        <v>54.6</v>
      </c>
      <c r="E42" s="10">
        <v>42000</v>
      </c>
      <c r="F42" s="10">
        <f t="shared" si="0"/>
        <v>2293200</v>
      </c>
      <c r="G42" s="9">
        <v>0</v>
      </c>
      <c r="H42" s="10">
        <f t="shared" si="1"/>
        <v>0</v>
      </c>
      <c r="I42" s="10">
        <f t="shared" si="2"/>
        <v>34398</v>
      </c>
      <c r="J42" s="10">
        <f t="shared" si="3"/>
        <v>2327598</v>
      </c>
      <c r="K42" s="22">
        <f t="shared" si="4"/>
        <v>2327598</v>
      </c>
      <c r="L42" s="6">
        <v>90</v>
      </c>
      <c r="M42" s="8">
        <f>IF(OR(C42="",L42=""),"",C42+L42)</f>
        <v>46226</v>
      </c>
      <c r="N42" s="11">
        <f t="shared" ca="1" si="5"/>
        <v>-71</v>
      </c>
      <c r="O42" s="7" t="str">
        <f>IF(L42="","",L42&amp;" Day Due")</f>
        <v>90 Day Due</v>
      </c>
      <c r="P42" s="10">
        <f>IF(A42="","",SUMIFS('Partial Payment Log'!$E$4:$E$501,'Partial Payment Log'!$C$4:$C$501,A42))</f>
        <v>3456159.5</v>
      </c>
      <c r="Q42" s="10">
        <f>IF(A42="","",K42-P42)</f>
        <v>-1128561.5</v>
      </c>
      <c r="R42" s="6" t="str">
        <f>IF(A42="","",IF(Q42&lt;=0,IF(Q42&lt;0,"Overpaid","Paid"),IF(P42&gt;0,"Part Paid","Unpaid")))</f>
        <v>Overpaid</v>
      </c>
    </row>
    <row r="43" spans="1:18" ht="15">
      <c r="A43" s="5" t="s">
        <v>130</v>
      </c>
      <c r="B43" s="5" t="s">
        <v>42</v>
      </c>
      <c r="C43" s="8">
        <v>46209</v>
      </c>
      <c r="D43" s="9">
        <v>34.35</v>
      </c>
      <c r="E43" s="10">
        <v>40000</v>
      </c>
      <c r="F43" s="10">
        <f t="shared" si="0"/>
        <v>1374000</v>
      </c>
      <c r="G43" s="9">
        <v>0</v>
      </c>
      <c r="H43" s="10">
        <f t="shared" si="1"/>
        <v>0</v>
      </c>
      <c r="I43" s="10">
        <f t="shared" si="2"/>
        <v>20610</v>
      </c>
      <c r="J43" s="10">
        <f t="shared" si="3"/>
        <v>1394610</v>
      </c>
      <c r="K43" s="10">
        <f t="shared" si="4"/>
        <v>1394610</v>
      </c>
      <c r="L43" s="6">
        <v>90</v>
      </c>
      <c r="M43" s="8">
        <f>IF(OR(C43="",L43=""),"",C43+L43)</f>
        <v>46299</v>
      </c>
      <c r="N43" s="11">
        <f t="shared" ca="1" si="5"/>
        <v>2</v>
      </c>
      <c r="O43" s="7" t="str">
        <f>IF(L43="","",L43&amp;" Day Due")</f>
        <v>90 Day Due</v>
      </c>
      <c r="P43" s="10">
        <f>IF(A43="","",SUMIFS('Partial Payment Log'!$E$4:$E$501,'Partial Payment Log'!$C$4:$C$501,A43))</f>
        <v>0</v>
      </c>
      <c r="Q43" s="10">
        <f>IF(A43="","",K43-P43)</f>
        <v>1394610</v>
      </c>
      <c r="R43" s="6" t="str">
        <f>IF(A43="","",IF(Q43&lt;=0,IF(Q43&lt;0,"Overpaid","Paid"),IF(P43&gt;0,"Part Paid","Unpaid")))</f>
        <v>Unpaid</v>
      </c>
    </row>
    <row r="44" spans="1:18" ht="15">
      <c r="A44" s="5" t="s">
        <v>133</v>
      </c>
      <c r="B44" s="5" t="s">
        <v>36</v>
      </c>
      <c r="C44" s="8">
        <v>46214</v>
      </c>
      <c r="D44" s="9">
        <v>2.2400000000000002</v>
      </c>
      <c r="E44" s="10">
        <v>52800</v>
      </c>
      <c r="F44" s="10">
        <f t="shared" si="0"/>
        <v>118272.00000000001</v>
      </c>
      <c r="G44" s="9">
        <v>0</v>
      </c>
      <c r="H44" s="10">
        <f t="shared" si="1"/>
        <v>0</v>
      </c>
      <c r="I44" s="10">
        <f t="shared" si="2"/>
        <v>1774.0800000000002</v>
      </c>
      <c r="J44" s="10">
        <f t="shared" si="3"/>
        <v>120046.08000000002</v>
      </c>
      <c r="K44" s="10">
        <f t="shared" si="4"/>
        <v>120046.08000000002</v>
      </c>
      <c r="L44" s="6">
        <v>90</v>
      </c>
      <c r="M44" s="8">
        <f>IF(OR(C44="",L44=""),"",C44+L44)</f>
        <v>46304</v>
      </c>
      <c r="N44" s="11">
        <f t="shared" ca="1" si="5"/>
        <v>7</v>
      </c>
      <c r="O44" s="7" t="str">
        <f>IF(L44="","",L44&amp;" Day Due")</f>
        <v>90 Day Due</v>
      </c>
      <c r="P44" s="10">
        <f>IF(A44="","",SUMIFS('Partial Payment Log'!$E$4:$E$501,'Partial Payment Log'!$C$4:$C$501,A44))</f>
        <v>0</v>
      </c>
      <c r="Q44" s="10">
        <f>IF(A44="","",K44-P44)</f>
        <v>120046.08000000002</v>
      </c>
      <c r="R44" s="6" t="str">
        <f>IF(A44="","",IF(Q44&lt;=0,IF(Q44&lt;0,"Overpaid","Paid"),IF(P44&gt;0,"Part Paid","Unpaid")))</f>
        <v>Unpaid</v>
      </c>
    </row>
    <row r="45" spans="1:18" ht="15">
      <c r="A45" s="5" t="s">
        <v>131</v>
      </c>
      <c r="B45" s="5" t="s">
        <v>36</v>
      </c>
      <c r="C45" s="8">
        <v>46214</v>
      </c>
      <c r="D45" s="9">
        <v>32.03</v>
      </c>
      <c r="E45" s="10">
        <v>40000</v>
      </c>
      <c r="F45" s="10">
        <f t="shared" si="0"/>
        <v>1281200</v>
      </c>
      <c r="G45" s="9">
        <v>0</v>
      </c>
      <c r="H45" s="10">
        <f t="shared" si="1"/>
        <v>0</v>
      </c>
      <c r="I45" s="10">
        <f t="shared" si="2"/>
        <v>19218</v>
      </c>
      <c r="J45" s="10">
        <f t="shared" si="3"/>
        <v>1300418</v>
      </c>
      <c r="K45" s="10">
        <f t="shared" si="4"/>
        <v>1300418</v>
      </c>
      <c r="L45" s="6">
        <v>90</v>
      </c>
      <c r="M45" s="8">
        <f>IF(OR(C45="",L45=""),"",C45+L45)</f>
        <v>46304</v>
      </c>
      <c r="N45" s="11">
        <f t="shared" ca="1" si="5"/>
        <v>7</v>
      </c>
      <c r="O45" s="7" t="str">
        <f>IF(L45="","",L45&amp;" Day Due")</f>
        <v>90 Day Due</v>
      </c>
      <c r="P45" s="10">
        <f>IF(A45="","",SUMIFS('Partial Payment Log'!$E$4:$E$501,'Partial Payment Log'!$C$4:$C$501,A45))</f>
        <v>0</v>
      </c>
      <c r="Q45" s="10">
        <f>IF(A45="","",K45-P45)</f>
        <v>1300418</v>
      </c>
      <c r="R45" s="6" t="str">
        <f>IF(A45="","",IF(Q45&lt;=0,IF(Q45&lt;0,"Overpaid","Paid"),IF(P45&gt;0,"Part Paid","Unpaid")))</f>
        <v>Unpaid</v>
      </c>
    </row>
    <row r="46" spans="1:18" ht="15">
      <c r="A46" s="5" t="s">
        <v>132</v>
      </c>
      <c r="B46" s="5" t="s">
        <v>36</v>
      </c>
      <c r="C46" s="8">
        <v>46214</v>
      </c>
      <c r="D46" s="9">
        <v>18.47</v>
      </c>
      <c r="E46" s="10">
        <v>34000</v>
      </c>
      <c r="F46" s="10">
        <f t="shared" si="0"/>
        <v>627980</v>
      </c>
      <c r="G46" s="9">
        <v>0</v>
      </c>
      <c r="H46" s="10">
        <f t="shared" si="1"/>
        <v>0</v>
      </c>
      <c r="I46" s="10">
        <f t="shared" si="2"/>
        <v>9419.6999999999989</v>
      </c>
      <c r="J46" s="10">
        <f t="shared" si="3"/>
        <v>637399.69999999995</v>
      </c>
      <c r="K46" s="10">
        <f t="shared" si="4"/>
        <v>637399.69999999995</v>
      </c>
      <c r="L46" s="6">
        <v>90</v>
      </c>
      <c r="M46" s="8">
        <f>IF(OR(C46="",L46=""),"",C46+L46)</f>
        <v>46304</v>
      </c>
      <c r="N46" s="11">
        <f t="shared" ca="1" si="5"/>
        <v>7</v>
      </c>
      <c r="O46" s="7" t="str">
        <f>IF(L46="","",L46&amp;" Day Due")</f>
        <v>90 Day Due</v>
      </c>
      <c r="P46" s="10">
        <f>IF(A46="","",SUMIFS('Partial Payment Log'!$E$4:$E$501,'Partial Payment Log'!$C$4:$C$501,A46))</f>
        <v>0</v>
      </c>
      <c r="Q46" s="10">
        <f>IF(A46="","",K46-P46)</f>
        <v>637399.69999999995</v>
      </c>
      <c r="R46" s="6" t="str">
        <f>IF(A46="","",IF(Q46&lt;=0,IF(Q46&lt;0,"Overpaid","Paid"),IF(P46&gt;0,"Part Paid","Unpaid")))</f>
        <v>Unpaid</v>
      </c>
    </row>
    <row r="47" spans="1:18" ht="15">
      <c r="A47" s="5" t="s">
        <v>134</v>
      </c>
      <c r="B47" s="5" t="s">
        <v>42</v>
      </c>
      <c r="C47" s="8">
        <v>46214</v>
      </c>
      <c r="D47" s="9">
        <v>19.073</v>
      </c>
      <c r="E47" s="10">
        <v>40500</v>
      </c>
      <c r="F47" s="10">
        <f t="shared" si="0"/>
        <v>772456.5</v>
      </c>
      <c r="G47" s="9">
        <v>19.073</v>
      </c>
      <c r="H47" s="10">
        <f t="shared" si="1"/>
        <v>772456.5</v>
      </c>
      <c r="I47" s="10">
        <f t="shared" si="2"/>
        <v>0</v>
      </c>
      <c r="J47" s="10">
        <f t="shared" si="3"/>
        <v>0</v>
      </c>
      <c r="K47" s="10">
        <f t="shared" si="4"/>
        <v>0</v>
      </c>
      <c r="L47" s="6">
        <v>90</v>
      </c>
      <c r="M47" s="8">
        <f>IF(OR(C47="",L47=""),"",C47+L47)</f>
        <v>46304</v>
      </c>
      <c r="N47" s="11">
        <f t="shared" ca="1" si="5"/>
        <v>7</v>
      </c>
      <c r="O47" s="7" t="str">
        <f>IF(L47="","",L47&amp;" Day Due")</f>
        <v>90 Day Due</v>
      </c>
      <c r="P47" s="10">
        <f>IF(A47="","",SUMIFS('Partial Payment Log'!$E$4:$E$501,'Partial Payment Log'!$C$4:$C$501,A47))</f>
        <v>0</v>
      </c>
      <c r="Q47" s="10">
        <f>IF(A47="","",K47-P47)</f>
        <v>0</v>
      </c>
      <c r="R47" s="6" t="str">
        <f>IF(A47="","",IF(Q47&lt;=0,IF(Q47&lt;0,"Overpaid","Paid"),IF(P47&gt;0,"Part Paid","Unpaid")))</f>
        <v>Paid</v>
      </c>
    </row>
    <row r="48" spans="1:18" ht="15">
      <c r="A48" s="5" t="s">
        <v>135</v>
      </c>
      <c r="B48" s="5" t="s">
        <v>42</v>
      </c>
      <c r="C48" s="8">
        <v>46214</v>
      </c>
      <c r="D48" s="9">
        <v>5.0449999999999999</v>
      </c>
      <c r="E48" s="10">
        <v>32000</v>
      </c>
      <c r="F48" s="10">
        <f t="shared" si="0"/>
        <v>161440</v>
      </c>
      <c r="G48" s="9">
        <v>0</v>
      </c>
      <c r="H48" s="10">
        <f t="shared" si="1"/>
        <v>0</v>
      </c>
      <c r="I48" s="10">
        <f t="shared" si="2"/>
        <v>2421.6</v>
      </c>
      <c r="J48" s="10">
        <f t="shared" si="3"/>
        <v>163861.6</v>
      </c>
      <c r="K48" s="10">
        <f t="shared" si="4"/>
        <v>163861.6</v>
      </c>
      <c r="L48" s="6">
        <v>90</v>
      </c>
      <c r="M48" s="8">
        <f>IF(OR(C48="",L48=""),"",C48+L48)</f>
        <v>46304</v>
      </c>
      <c r="N48" s="11">
        <f t="shared" ca="1" si="5"/>
        <v>7</v>
      </c>
      <c r="O48" s="7" t="str">
        <f>IF(L48="","",L48&amp;" Day Due")</f>
        <v>90 Day Due</v>
      </c>
      <c r="P48" s="10">
        <f>IF(A48="","",SUMIFS('Partial Payment Log'!$E$4:$E$501,'Partial Payment Log'!$C$4:$C$501,A48))</f>
        <v>0</v>
      </c>
      <c r="Q48" s="10">
        <f>IF(A48="","",K48-P48)</f>
        <v>163861.6</v>
      </c>
      <c r="R48" s="6" t="str">
        <f>IF(A48="","",IF(Q48&lt;=0,IF(Q48&lt;0,"Overpaid","Paid"),IF(P48&gt;0,"Part Paid","Unpaid")))</f>
        <v>Unpaid</v>
      </c>
    </row>
    <row r="49" spans="1:18" ht="15">
      <c r="A49" s="5" t="s">
        <v>136</v>
      </c>
      <c r="B49" s="5" t="s">
        <v>42</v>
      </c>
      <c r="C49" s="8">
        <v>46216</v>
      </c>
      <c r="D49" s="9">
        <v>19.073</v>
      </c>
      <c r="E49" s="10">
        <v>40000</v>
      </c>
      <c r="F49" s="10">
        <f t="shared" si="0"/>
        <v>762920</v>
      </c>
      <c r="G49" s="9">
        <v>0</v>
      </c>
      <c r="H49" s="10">
        <f t="shared" si="1"/>
        <v>0</v>
      </c>
      <c r="I49" s="10">
        <f t="shared" si="2"/>
        <v>11443.8</v>
      </c>
      <c r="J49" s="10">
        <f t="shared" si="3"/>
        <v>774363.8</v>
      </c>
      <c r="K49" s="10">
        <f t="shared" si="4"/>
        <v>774363.8</v>
      </c>
      <c r="L49" s="6">
        <v>90</v>
      </c>
      <c r="M49" s="8">
        <f>IF(OR(C49="",L49=""),"",C49+L49)</f>
        <v>46306</v>
      </c>
      <c r="N49" s="11">
        <f t="shared" ca="1" si="5"/>
        <v>9</v>
      </c>
      <c r="O49" s="7" t="str">
        <f>IF(L49="","",L49&amp;" Day Due")</f>
        <v>90 Day Due</v>
      </c>
      <c r="P49" s="10">
        <f>IF(A49="","",SUMIFS('Partial Payment Log'!$E$4:$E$501,'Partial Payment Log'!$C$4:$C$501,A49))</f>
        <v>0</v>
      </c>
      <c r="Q49" s="10">
        <f>IF(A49="","",K49-P49)</f>
        <v>774363.8</v>
      </c>
      <c r="R49" s="6" t="str">
        <f>IF(A49="","",IF(Q49&lt;=0,IF(Q49&lt;0,"Overpaid","Paid"),IF(P49&gt;0,"Part Paid","Unpaid")))</f>
        <v>Unpaid</v>
      </c>
    </row>
    <row r="50" spans="1:18" ht="15">
      <c r="A50" s="5" t="s">
        <v>137</v>
      </c>
      <c r="B50" s="5" t="s">
        <v>36</v>
      </c>
      <c r="C50" s="8">
        <v>46230</v>
      </c>
      <c r="D50" s="9">
        <v>32.729999999999997</v>
      </c>
      <c r="E50" s="10">
        <v>41000</v>
      </c>
      <c r="F50" s="10">
        <f t="shared" si="0"/>
        <v>1341929.9999999998</v>
      </c>
      <c r="G50" s="9">
        <v>0</v>
      </c>
      <c r="H50" s="10">
        <f t="shared" si="1"/>
        <v>0</v>
      </c>
      <c r="I50" s="10">
        <f t="shared" si="2"/>
        <v>20128.949999999997</v>
      </c>
      <c r="J50" s="10">
        <f t="shared" si="3"/>
        <v>1362058.9499999997</v>
      </c>
      <c r="K50" s="10">
        <f t="shared" si="4"/>
        <v>1362058.9499999997</v>
      </c>
      <c r="L50" s="6">
        <v>90</v>
      </c>
      <c r="M50" s="8">
        <f>IF(OR(C50="",L50=""),"",C50+L50)</f>
        <v>46320</v>
      </c>
      <c r="N50" s="11">
        <f t="shared" ca="1" si="5"/>
        <v>23</v>
      </c>
      <c r="O50" s="7" t="str">
        <f>IF(L50="","",L50&amp;" Day Due")</f>
        <v>90 Day Due</v>
      </c>
      <c r="P50" s="10">
        <f>IF(A50="","",SUMIFS('Partial Payment Log'!$E$4:$E$501,'Partial Payment Log'!$C$4:$C$501,A50))</f>
        <v>0</v>
      </c>
      <c r="Q50" s="10">
        <f>IF(A50="","",K50-P50)</f>
        <v>1362058.9499999997</v>
      </c>
      <c r="R50" s="6" t="str">
        <f>IF(A50="","",IF(Q50&lt;=0,IF(Q50&lt;0,"Overpaid","Paid"),IF(P50&gt;0,"Part Paid","Unpaid")))</f>
        <v>Unpaid</v>
      </c>
    </row>
    <row r="51" spans="1:18" ht="15">
      <c r="A51" s="5" t="s">
        <v>138</v>
      </c>
      <c r="B51" s="5" t="s">
        <v>42</v>
      </c>
      <c r="C51" s="8">
        <v>46230</v>
      </c>
      <c r="D51" s="9">
        <v>37.723999999999997</v>
      </c>
      <c r="E51" s="10">
        <v>40000</v>
      </c>
      <c r="F51" s="10">
        <f t="shared" si="0"/>
        <v>1508959.9999999998</v>
      </c>
      <c r="G51" s="9">
        <v>0</v>
      </c>
      <c r="H51" s="10">
        <f t="shared" si="1"/>
        <v>0</v>
      </c>
      <c r="I51" s="10">
        <f t="shared" si="2"/>
        <v>22634.399999999994</v>
      </c>
      <c r="J51" s="10">
        <f t="shared" si="3"/>
        <v>1531594.3999999997</v>
      </c>
      <c r="K51" s="10">
        <f t="shared" si="4"/>
        <v>1531594.3999999997</v>
      </c>
      <c r="L51" s="6">
        <v>90</v>
      </c>
      <c r="M51" s="8">
        <f>IF(OR(C51="",L51=""),"",C51+L51)</f>
        <v>46320</v>
      </c>
      <c r="N51" s="11">
        <f t="shared" ca="1" si="5"/>
        <v>23</v>
      </c>
      <c r="O51" s="7" t="str">
        <f>IF(L51="","",L51&amp;" Day Due")</f>
        <v>90 Day Due</v>
      </c>
      <c r="P51" s="10">
        <f>IF(A51="","",SUMIFS('Partial Payment Log'!$E$4:$E$501,'Partial Payment Log'!$C$4:$C$501,A51))</f>
        <v>0</v>
      </c>
      <c r="Q51" s="10">
        <f>IF(A51="","",K51-P51)</f>
        <v>1531594.3999999997</v>
      </c>
      <c r="R51" s="6" t="str">
        <f>IF(A51="","",IF(Q51&lt;=0,IF(Q51&lt;0,"Overpaid","Paid"),IF(P51&gt;0,"Part Paid","Unpaid")))</f>
        <v>Unpaid</v>
      </c>
    </row>
    <row r="52" spans="1:18" ht="15">
      <c r="A52" s="5" t="s">
        <v>139</v>
      </c>
      <c r="B52" s="5" t="s">
        <v>36</v>
      </c>
      <c r="C52" s="8">
        <v>46227</v>
      </c>
      <c r="D52" s="9">
        <v>108.6</v>
      </c>
      <c r="E52" s="10">
        <v>41000</v>
      </c>
      <c r="F52" s="10">
        <f t="shared" si="0"/>
        <v>4452600</v>
      </c>
      <c r="G52" s="9">
        <v>0</v>
      </c>
      <c r="H52" s="10">
        <f t="shared" si="1"/>
        <v>0</v>
      </c>
      <c r="I52" s="10">
        <f t="shared" si="2"/>
        <v>66789</v>
      </c>
      <c r="J52" s="10">
        <f t="shared" si="3"/>
        <v>4519389</v>
      </c>
      <c r="K52" s="10">
        <f t="shared" si="4"/>
        <v>4519389</v>
      </c>
      <c r="L52" s="6">
        <v>90</v>
      </c>
      <c r="M52" s="8">
        <f>IF(OR(C52="",L52=""),"",C52+L52)</f>
        <v>46317</v>
      </c>
      <c r="N52" s="11">
        <f t="shared" ca="1" si="5"/>
        <v>20</v>
      </c>
      <c r="O52" s="7" t="str">
        <f>IF(L52="","",L52&amp;" Day Due")</f>
        <v>90 Day Due</v>
      </c>
      <c r="P52" s="10">
        <f>IF(A52="","",SUMIFS('Partial Payment Log'!$E$4:$E$501,'Partial Payment Log'!$C$4:$C$501,A52))</f>
        <v>0</v>
      </c>
      <c r="Q52" s="10">
        <f>IF(A52="","",K52-P52)</f>
        <v>4519389</v>
      </c>
      <c r="R52" s="6" t="str">
        <f>IF(A52="","",IF(Q52&lt;=0,IF(Q52&lt;0,"Overpaid","Paid"),IF(P52&gt;0,"Part Paid","Unpaid")))</f>
        <v>Unpaid</v>
      </c>
    </row>
    <row r="53" spans="1:18" ht="15">
      <c r="A53" s="5" t="s">
        <v>140</v>
      </c>
      <c r="B53" s="5" t="s">
        <v>40</v>
      </c>
      <c r="C53" s="8">
        <v>46228</v>
      </c>
      <c r="D53" s="9">
        <v>28.22</v>
      </c>
      <c r="E53" s="10">
        <v>40000</v>
      </c>
      <c r="F53" s="10">
        <f t="shared" si="0"/>
        <v>1128800</v>
      </c>
      <c r="G53" s="9">
        <v>0</v>
      </c>
      <c r="H53" s="10">
        <f t="shared" si="1"/>
        <v>0</v>
      </c>
      <c r="I53" s="10">
        <f t="shared" si="2"/>
        <v>16932</v>
      </c>
      <c r="J53" s="10">
        <f t="shared" si="3"/>
        <v>1145732</v>
      </c>
      <c r="K53" s="10">
        <f t="shared" si="4"/>
        <v>1145732</v>
      </c>
      <c r="L53" s="6">
        <v>90</v>
      </c>
      <c r="M53" s="8">
        <f>IF(OR(C53="",L53=""),"",C53+L53)</f>
        <v>46318</v>
      </c>
      <c r="N53" s="11">
        <f t="shared" ca="1" si="5"/>
        <v>21</v>
      </c>
      <c r="O53" s="7" t="str">
        <f>IF(L53="","",L53&amp;" Day Due")</f>
        <v>90 Day Due</v>
      </c>
      <c r="P53" s="10">
        <f>IF(A53="","",SUMIFS('Partial Payment Log'!$E$4:$E$501,'Partial Payment Log'!$C$4:$C$501,A53))</f>
        <v>0</v>
      </c>
      <c r="Q53" s="10">
        <f>IF(A53="","",K53-P53)</f>
        <v>1145732</v>
      </c>
      <c r="R53" s="6" t="str">
        <f>IF(A53="","",IF(Q53&lt;=0,IF(Q53&lt;0,"Overpaid","Paid"),IF(P53&gt;0,"Part Paid","Unpaid")))</f>
        <v>Unpaid</v>
      </c>
    </row>
    <row r="54" spans="1:18" ht="15">
      <c r="A54" s="5" t="s">
        <v>141</v>
      </c>
      <c r="B54" s="5" t="s">
        <v>39</v>
      </c>
      <c r="C54" s="8">
        <v>46223</v>
      </c>
      <c r="D54" s="9">
        <v>30.32</v>
      </c>
      <c r="E54" s="10">
        <v>34000</v>
      </c>
      <c r="F54" s="10">
        <f t="shared" si="0"/>
        <v>1030880</v>
      </c>
      <c r="G54" s="9">
        <v>0</v>
      </c>
      <c r="H54" s="10">
        <f t="shared" si="1"/>
        <v>0</v>
      </c>
      <c r="I54" s="10">
        <f t="shared" si="2"/>
        <v>15463.199999999999</v>
      </c>
      <c r="J54" s="10">
        <f t="shared" si="3"/>
        <v>1046343.2</v>
      </c>
      <c r="K54" s="10">
        <f t="shared" si="4"/>
        <v>1046343.2</v>
      </c>
      <c r="L54" s="6">
        <v>90</v>
      </c>
      <c r="M54" s="8">
        <f>IF(OR(C54="",L54=""),"",C54+L54)</f>
        <v>46313</v>
      </c>
      <c r="N54" s="11">
        <f t="shared" ca="1" si="5"/>
        <v>16</v>
      </c>
      <c r="O54" s="7" t="str">
        <f>IF(L54="","",L54&amp;" Day Due")</f>
        <v>90 Day Due</v>
      </c>
      <c r="P54" s="10">
        <f>IF(A54="","",SUMIFS('Partial Payment Log'!$E$4:$E$501,'Partial Payment Log'!$C$4:$C$501,A54))</f>
        <v>0</v>
      </c>
      <c r="Q54" s="10">
        <f>IF(A54="","",K54-P54)</f>
        <v>1046343.2</v>
      </c>
      <c r="R54" s="6" t="str">
        <f>IF(A54="","",IF(Q54&lt;=0,IF(Q54&lt;0,"Overpaid","Paid"),IF(P54&gt;0,"Part Paid","Unpaid")))</f>
        <v>Unpaid</v>
      </c>
    </row>
    <row r="55" spans="1:18" ht="15">
      <c r="A55" s="5" t="s">
        <v>142</v>
      </c>
      <c r="B55" s="5" t="s">
        <v>40</v>
      </c>
      <c r="C55" s="8">
        <v>46221</v>
      </c>
      <c r="D55" s="9">
        <v>66.569999999999993</v>
      </c>
      <c r="E55" s="10">
        <v>40000</v>
      </c>
      <c r="F55" s="10">
        <f t="shared" si="0"/>
        <v>2662799.9999999995</v>
      </c>
      <c r="G55" s="9">
        <v>16.91</v>
      </c>
      <c r="H55" s="10">
        <f t="shared" si="1"/>
        <v>676400</v>
      </c>
      <c r="I55" s="10">
        <f t="shared" si="2"/>
        <v>29795.999999999993</v>
      </c>
      <c r="J55" s="10">
        <f t="shared" si="3"/>
        <v>2016195.9999999995</v>
      </c>
      <c r="K55" s="10">
        <f t="shared" si="4"/>
        <v>2016195.9999999995</v>
      </c>
      <c r="L55" s="6">
        <v>90</v>
      </c>
      <c r="M55" s="8">
        <f>IF(OR(C55="",L55=""),"",C55+L55)</f>
        <v>46311</v>
      </c>
      <c r="N55" s="11">
        <f t="shared" ca="1" si="5"/>
        <v>14</v>
      </c>
      <c r="O55" s="7" t="str">
        <f>IF(L55="","",L55&amp;" Day Due")</f>
        <v>90 Day Due</v>
      </c>
      <c r="P55" s="10">
        <f>IF(A55="","",SUMIFS('Partial Payment Log'!$E$4:$E$501,'Partial Payment Log'!$C$4:$C$501,A55))</f>
        <v>0</v>
      </c>
      <c r="Q55" s="10">
        <f>IF(A55="","",K55-P55)</f>
        <v>2016195.9999999995</v>
      </c>
      <c r="R55" s="6" t="str">
        <f>IF(A55="","",IF(Q55&lt;=0,IF(Q55&lt;0,"Overpaid","Paid"),IF(P55&gt;0,"Part Paid","Unpaid")))</f>
        <v>Unpaid</v>
      </c>
    </row>
    <row r="56" spans="1:18" ht="15">
      <c r="A56" s="5" t="s">
        <v>143</v>
      </c>
      <c r="B56" s="5" t="s">
        <v>40</v>
      </c>
      <c r="C56" s="8">
        <v>46221</v>
      </c>
      <c r="D56" s="9">
        <v>16.54</v>
      </c>
      <c r="E56" s="10">
        <v>40000</v>
      </c>
      <c r="F56" s="10">
        <f t="shared" si="0"/>
        <v>661600</v>
      </c>
      <c r="G56" s="9">
        <v>7.56</v>
      </c>
      <c r="H56" s="10">
        <f t="shared" si="1"/>
        <v>302400</v>
      </c>
      <c r="I56" s="10">
        <f t="shared" si="2"/>
        <v>5388</v>
      </c>
      <c r="J56" s="10">
        <f t="shared" si="3"/>
        <v>364588</v>
      </c>
      <c r="K56" s="10">
        <f t="shared" si="4"/>
        <v>364588</v>
      </c>
      <c r="L56" s="6">
        <v>90</v>
      </c>
      <c r="M56" s="8">
        <f>IF(OR(C56="",L56=""),"",C56+L56)</f>
        <v>46311</v>
      </c>
      <c r="N56" s="11">
        <f t="shared" ca="1" si="5"/>
        <v>14</v>
      </c>
      <c r="O56" s="7" t="str">
        <f>IF(L56="","",L56&amp;" Day Due")</f>
        <v>90 Day Due</v>
      </c>
      <c r="P56" s="10">
        <f>IF(A56="","",SUMIFS('Partial Payment Log'!$E$4:$E$501,'Partial Payment Log'!$C$4:$C$501,A56))</f>
        <v>0</v>
      </c>
      <c r="Q56" s="10">
        <f>IF(A56="","",K56-P56)</f>
        <v>364588</v>
      </c>
      <c r="R56" s="6" t="str">
        <f>IF(A56="","",IF(Q56&lt;=0,IF(Q56&lt;0,"Overpaid","Paid"),IF(P56&gt;0,"Part Paid","Unpaid")))</f>
        <v>Unpaid</v>
      </c>
    </row>
    <row r="57" spans="1:18" ht="15">
      <c r="A57" s="5" t="s">
        <v>144</v>
      </c>
      <c r="B57" s="5" t="s">
        <v>42</v>
      </c>
      <c r="C57" s="8">
        <v>46224</v>
      </c>
      <c r="D57" s="9">
        <v>1.97</v>
      </c>
      <c r="E57" s="10">
        <v>53000</v>
      </c>
      <c r="F57" s="10">
        <f t="shared" si="0"/>
        <v>104410</v>
      </c>
      <c r="G57" s="9">
        <v>0.78400000000000003</v>
      </c>
      <c r="H57" s="10">
        <f t="shared" si="1"/>
        <v>41552</v>
      </c>
      <c r="I57" s="10">
        <f t="shared" si="2"/>
        <v>942.87</v>
      </c>
      <c r="J57" s="10">
        <f t="shared" si="3"/>
        <v>63800.87</v>
      </c>
      <c r="K57" s="10">
        <f>IF(F57="","",J57)</f>
        <v>63800.87</v>
      </c>
      <c r="L57" s="6">
        <v>90</v>
      </c>
      <c r="M57" s="8">
        <f>IF(OR(C57="",L57=""),"",C57+L57)</f>
        <v>46314</v>
      </c>
      <c r="N57" s="11">
        <f t="shared" ca="1" si="5"/>
        <v>17</v>
      </c>
      <c r="O57" s="7" t="str">
        <f>IF(L57="","",L57&amp;" Day Due")</f>
        <v>90 Day Due</v>
      </c>
      <c r="P57" s="10">
        <f>IF(A57="","",SUMIFS('Partial Payment Log'!$E$4:$E$501,'Partial Payment Log'!$C$4:$C$501,A57))</f>
        <v>0</v>
      </c>
      <c r="Q57" s="10">
        <f>IF(A57="","",K57-P57)</f>
        <v>63800.87</v>
      </c>
      <c r="R57" s="6" t="str">
        <f>IF(A57="","",IF(Q57&lt;=0,IF(Q57&lt;0,"Overpaid","Paid"),IF(P57&gt;0,"Part Paid","Unpaid")))</f>
        <v>Unpaid</v>
      </c>
    </row>
    <row r="58" spans="1:18" ht="15">
      <c r="A58" s="5" t="s">
        <v>145</v>
      </c>
      <c r="B58" s="5" t="s">
        <v>36</v>
      </c>
      <c r="C58" s="8">
        <v>46235</v>
      </c>
      <c r="D58" s="9">
        <v>72.010000000000005</v>
      </c>
      <c r="E58" s="10">
        <v>40800</v>
      </c>
      <c r="F58" s="10">
        <f t="shared" si="0"/>
        <v>2938008</v>
      </c>
      <c r="G58" s="9">
        <v>0</v>
      </c>
      <c r="H58" s="10">
        <f t="shared" si="1"/>
        <v>0</v>
      </c>
      <c r="I58" s="10">
        <f t="shared" si="2"/>
        <v>44070.119999999995</v>
      </c>
      <c r="J58" s="10">
        <f t="shared" si="3"/>
        <v>2982078.12</v>
      </c>
      <c r="K58" s="10">
        <f t="shared" si="4"/>
        <v>2982078.12</v>
      </c>
      <c r="L58" s="6">
        <v>90</v>
      </c>
      <c r="M58" s="8">
        <f>IF(OR(C58="",L58=""),"",C58+L58)</f>
        <v>46325</v>
      </c>
      <c r="N58" s="11">
        <f t="shared" ca="1" si="5"/>
        <v>28</v>
      </c>
      <c r="O58" s="7" t="str">
        <f>IF(L58="","",L58&amp;" Day Due")</f>
        <v>90 Day Due</v>
      </c>
      <c r="P58" s="10">
        <f>IF(A58="","",SUMIFS('Partial Payment Log'!$E$4:$E$501,'Partial Payment Log'!$C$4:$C$501,A58))</f>
        <v>0</v>
      </c>
      <c r="Q58" s="10">
        <f>IF(A58="","",K58-P58)</f>
        <v>2982078.12</v>
      </c>
      <c r="R58" s="6" t="str">
        <f>IF(A58="","",IF(Q58&lt;=0,IF(Q58&lt;0,"Overpaid","Paid"),IF(P58&gt;0,"Part Paid","Unpaid")))</f>
        <v>Unpaid</v>
      </c>
    </row>
    <row r="59" spans="1:18" ht="15">
      <c r="A59" s="5" t="s">
        <v>146</v>
      </c>
      <c r="B59" s="5" t="s">
        <v>36</v>
      </c>
      <c r="C59" s="8">
        <v>46237</v>
      </c>
      <c r="D59" s="9">
        <v>1</v>
      </c>
      <c r="E59" s="10">
        <v>62000</v>
      </c>
      <c r="F59" s="10">
        <f t="shared" si="0"/>
        <v>62000</v>
      </c>
      <c r="G59" s="9">
        <v>0</v>
      </c>
      <c r="H59" s="10">
        <f t="shared" si="1"/>
        <v>0</v>
      </c>
      <c r="I59" s="10">
        <f t="shared" si="2"/>
        <v>930</v>
      </c>
      <c r="J59" s="10">
        <f t="shared" si="3"/>
        <v>62930</v>
      </c>
      <c r="K59" s="10">
        <f>IF(F59="","",J59)</f>
        <v>62930</v>
      </c>
      <c r="L59" s="6">
        <v>90</v>
      </c>
      <c r="M59" s="8">
        <f>IF(OR(C59="",L59=""),"",C59+L59)</f>
        <v>46327</v>
      </c>
      <c r="N59" s="11">
        <f t="shared" ca="1" si="5"/>
        <v>30</v>
      </c>
      <c r="O59" s="7" t="str">
        <f>IF(L59="","",L59&amp;" Day Due")</f>
        <v>90 Day Due</v>
      </c>
      <c r="P59" s="10">
        <f>IF(A59="","",SUMIFS('Partial Payment Log'!$E$4:$E$501,'Partial Payment Log'!$C$4:$C$501,A59))</f>
        <v>0</v>
      </c>
      <c r="Q59" s="10">
        <f>IF(A59="","",K59-P59)</f>
        <v>62930</v>
      </c>
      <c r="R59" s="6" t="str">
        <f>IF(A59="","",IF(Q59&lt;=0,IF(Q59&lt;0,"Overpaid","Paid"),IF(P59&gt;0,"Part Paid","Unpaid")))</f>
        <v>Unpaid</v>
      </c>
    </row>
    <row r="60" spans="1:18" ht="15">
      <c r="A60" s="5" t="s">
        <v>147</v>
      </c>
      <c r="B60" s="5" t="s">
        <v>36</v>
      </c>
      <c r="C60" s="8">
        <v>46251</v>
      </c>
      <c r="D60" s="9">
        <v>107.61</v>
      </c>
      <c r="E60" s="10">
        <v>41000</v>
      </c>
      <c r="F60" s="10">
        <f t="shared" si="0"/>
        <v>4412010</v>
      </c>
      <c r="G60" s="9">
        <v>0</v>
      </c>
      <c r="H60" s="10">
        <f t="shared" si="1"/>
        <v>0</v>
      </c>
      <c r="I60" s="10">
        <f t="shared" si="2"/>
        <v>66180.149999999994</v>
      </c>
      <c r="J60" s="10">
        <f t="shared" si="3"/>
        <v>4478190.1500000004</v>
      </c>
      <c r="K60" s="10">
        <f t="shared" si="4"/>
        <v>4478190.1500000004</v>
      </c>
      <c r="L60" s="6">
        <v>90</v>
      </c>
      <c r="M60" s="8">
        <f>IF(OR(C60="",L60=""),"",C60+L60)</f>
        <v>46341</v>
      </c>
      <c r="N60" s="11">
        <f t="shared" ca="1" si="5"/>
        <v>44</v>
      </c>
      <c r="O60" s="7" t="str">
        <f>IF(L60="","",L60&amp;" Day Due")</f>
        <v>90 Day Due</v>
      </c>
      <c r="P60" s="10">
        <f>IF(A60="","",SUMIFS('Partial Payment Log'!$E$4:$E$501,'Partial Payment Log'!$C$4:$C$501,A60))</f>
        <v>0</v>
      </c>
      <c r="Q60" s="10">
        <f>IF(A60="","",K60-P60)</f>
        <v>4478190.1500000004</v>
      </c>
      <c r="R60" s="6" t="str">
        <f>IF(A60="","",IF(Q60&lt;=0,IF(Q60&lt;0,"Overpaid","Paid"),IF(P60&gt;0,"Part Paid","Unpaid")))</f>
        <v>Unpaid</v>
      </c>
    </row>
    <row r="61" spans="1:18" ht="15">
      <c r="A61" s="5" t="s">
        <v>148</v>
      </c>
      <c r="B61" s="5" t="s">
        <v>36</v>
      </c>
      <c r="C61" s="8">
        <v>46251</v>
      </c>
      <c r="D61" s="9">
        <v>19.649999999999999</v>
      </c>
      <c r="E61" s="10">
        <v>52800</v>
      </c>
      <c r="F61" s="10">
        <f t="shared" si="0"/>
        <v>1037519.9999999999</v>
      </c>
      <c r="G61" s="9">
        <v>3.77</v>
      </c>
      <c r="H61" s="10">
        <f t="shared" si="1"/>
        <v>199056</v>
      </c>
      <c r="I61" s="10">
        <f t="shared" si="2"/>
        <v>12576.959999999997</v>
      </c>
      <c r="J61" s="10">
        <f t="shared" si="3"/>
        <v>851040.95999999985</v>
      </c>
      <c r="K61" s="10">
        <f t="shared" si="4"/>
        <v>851040.95999999985</v>
      </c>
      <c r="L61" s="6">
        <v>90</v>
      </c>
      <c r="M61" s="8">
        <f>IF(OR(C61="",L61=""),"",C61+L61)</f>
        <v>46341</v>
      </c>
      <c r="N61" s="11">
        <f t="shared" ca="1" si="5"/>
        <v>44</v>
      </c>
      <c r="O61" s="7" t="str">
        <f>IF(L61="","",L61&amp;" Day Due")</f>
        <v>90 Day Due</v>
      </c>
      <c r="P61" s="10">
        <f>IF(A61="","",SUMIFS('Partial Payment Log'!$E$4:$E$501,'Partial Payment Log'!$C$4:$C$501,A61))</f>
        <v>0</v>
      </c>
      <c r="Q61" s="10">
        <f>IF(A61="","",K61-P61)</f>
        <v>851040.95999999985</v>
      </c>
      <c r="R61" s="6" t="str">
        <f>IF(A61="","",IF(Q61&lt;=0,IF(Q61&lt;0,"Overpaid","Paid"),IF(P61&gt;0,"Part Paid","Unpaid")))</f>
        <v>Unpaid</v>
      </c>
    </row>
    <row r="62" spans="1:18" ht="15">
      <c r="A62" s="5" t="s">
        <v>149</v>
      </c>
      <c r="B62" s="5" t="s">
        <v>42</v>
      </c>
      <c r="C62" s="8">
        <v>46248</v>
      </c>
      <c r="D62" s="9">
        <v>52.502000000000002</v>
      </c>
      <c r="E62" s="10">
        <v>40000</v>
      </c>
      <c r="F62" s="10">
        <f t="shared" si="0"/>
        <v>2100080</v>
      </c>
      <c r="G62" s="9">
        <v>11.27</v>
      </c>
      <c r="H62" s="10">
        <f t="shared" si="1"/>
        <v>450800</v>
      </c>
      <c r="I62" s="10">
        <f t="shared" si="2"/>
        <v>24739.200000000001</v>
      </c>
      <c r="J62" s="10">
        <f t="shared" si="3"/>
        <v>1674019.2</v>
      </c>
      <c r="K62" s="10">
        <f t="shared" si="4"/>
        <v>1674019.2</v>
      </c>
      <c r="L62" s="6">
        <v>90</v>
      </c>
      <c r="M62" s="8">
        <f>IF(OR(C62="",L62=""),"",C62+L62)</f>
        <v>46338</v>
      </c>
      <c r="N62" s="11">
        <f t="shared" ca="1" si="5"/>
        <v>41</v>
      </c>
      <c r="O62" s="7" t="str">
        <f>IF(L62="","",L62&amp;" Day Due")</f>
        <v>90 Day Due</v>
      </c>
      <c r="P62" s="10">
        <f>IF(A62="","",SUMIFS('Partial Payment Log'!$E$4:$E$501,'Partial Payment Log'!$C$4:$C$501,A62))</f>
        <v>0</v>
      </c>
      <c r="Q62" s="10">
        <f>IF(A62="","",K62-P62)</f>
        <v>1674019.2</v>
      </c>
      <c r="R62" s="6" t="str">
        <f>IF(A62="","",IF(Q62&lt;=0,IF(Q62&lt;0,"Overpaid","Paid"),IF(P62&gt;0,"Part Paid","Unpaid")))</f>
        <v>Unpaid</v>
      </c>
    </row>
    <row r="63" spans="1:18" ht="15">
      <c r="A63" s="5" t="s">
        <v>150</v>
      </c>
      <c r="B63" s="5" t="s">
        <v>42</v>
      </c>
      <c r="C63" s="8">
        <v>46248</v>
      </c>
      <c r="D63" s="9">
        <v>0.66400000000000003</v>
      </c>
      <c r="E63" s="10">
        <v>43000</v>
      </c>
      <c r="F63" s="10">
        <f t="shared" si="0"/>
        <v>28552</v>
      </c>
      <c r="G63" s="9">
        <v>0.13300000000000001</v>
      </c>
      <c r="H63" s="10">
        <f t="shared" si="1"/>
        <v>5719</v>
      </c>
      <c r="I63" s="10">
        <f t="shared" si="2"/>
        <v>342.495</v>
      </c>
      <c r="J63" s="10">
        <f>IF(F63="","",(F63-H63)+I63)</f>
        <v>23175.494999999999</v>
      </c>
      <c r="K63" s="10">
        <f t="shared" si="4"/>
        <v>23175.494999999999</v>
      </c>
      <c r="L63" s="6">
        <v>90</v>
      </c>
      <c r="M63" s="8">
        <f>IF(OR(C63="",L63=""),"",C63+L63)</f>
        <v>46338</v>
      </c>
      <c r="N63" s="11">
        <f t="shared" ca="1" si="5"/>
        <v>41</v>
      </c>
      <c r="O63" s="7" t="str">
        <f>IF(L63="","",L63&amp;" Day Due")</f>
        <v>90 Day Due</v>
      </c>
      <c r="P63" s="10">
        <f>IF(A63="","",SUMIFS('Partial Payment Log'!$E$4:$E$501,'Partial Payment Log'!$C$4:$C$501,A63))</f>
        <v>0</v>
      </c>
      <c r="Q63" s="10">
        <f>IF(A63="","",K63-P63)</f>
        <v>23175.494999999999</v>
      </c>
      <c r="R63" s="6" t="str">
        <f>IF(A63="","",IF(Q63&lt;=0,IF(Q63&lt;0,"Overpaid","Paid"),IF(P63&gt;0,"Part Paid","Unpaid")))</f>
        <v>Unpaid</v>
      </c>
    </row>
    <row r="64" spans="1:18" ht="15">
      <c r="A64" s="5" t="s">
        <v>151</v>
      </c>
      <c r="B64" s="5" t="s">
        <v>42</v>
      </c>
      <c r="C64" s="8">
        <v>46248</v>
      </c>
      <c r="D64" s="9">
        <v>1.98</v>
      </c>
      <c r="E64" s="10">
        <v>54000</v>
      </c>
      <c r="F64" s="10">
        <f t="shared" si="0"/>
        <v>106920</v>
      </c>
      <c r="G64" s="9">
        <v>0.99299999999999999</v>
      </c>
      <c r="H64" s="10">
        <f t="shared" si="1"/>
        <v>53622</v>
      </c>
      <c r="I64" s="10">
        <f t="shared" si="2"/>
        <v>799.46999999999991</v>
      </c>
      <c r="J64" s="10">
        <f t="shared" si="3"/>
        <v>54097.47</v>
      </c>
      <c r="K64" s="10">
        <f t="shared" si="4"/>
        <v>54097.47</v>
      </c>
      <c r="L64" s="6">
        <v>90</v>
      </c>
      <c r="M64" s="8">
        <f>IF(OR(C64="",L64=""),"",C64+L64)</f>
        <v>46338</v>
      </c>
      <c r="N64" s="11">
        <f t="shared" ca="1" si="5"/>
        <v>41</v>
      </c>
      <c r="O64" s="7" t="str">
        <f>IF(L64="","",L64&amp;" Day Due")</f>
        <v>90 Day Due</v>
      </c>
      <c r="P64" s="10">
        <f>IF(A64="","",SUMIFS('Partial Payment Log'!$E$4:$E$501,'Partial Payment Log'!$C$4:$C$501,A64))</f>
        <v>0</v>
      </c>
      <c r="Q64" s="10">
        <f>IF(A64="","",K64-P64)</f>
        <v>54097.47</v>
      </c>
      <c r="R64" s="6" t="str">
        <f>IF(A64="","",IF(Q64&lt;=0,IF(Q64&lt;0,"Overpaid","Paid"),IF(P64&gt;0,"Part Paid","Unpaid")))</f>
        <v>Unpaid</v>
      </c>
    </row>
    <row r="65" spans="1:18" ht="15">
      <c r="A65" s="5" t="s">
        <v>152</v>
      </c>
      <c r="B65" s="5" t="s">
        <v>43</v>
      </c>
      <c r="C65" s="8">
        <v>46251</v>
      </c>
      <c r="D65" s="9">
        <v>50.67</v>
      </c>
      <c r="E65" s="10">
        <v>40000</v>
      </c>
      <c r="F65" s="10">
        <f t="shared" ref="F65:F128" si="6">IF(OR(D65="",E65=""),"",D65*E65)</f>
        <v>2026800</v>
      </c>
      <c r="G65" s="9">
        <v>0</v>
      </c>
      <c r="H65" s="10">
        <f t="shared" ref="H65:H128" si="7">IF(A65="","",N(G65)*E65)</f>
        <v>0</v>
      </c>
      <c r="I65" s="10">
        <f t="shared" ref="I65:I128" si="8">IF(F65="","",(F65-H65)*1.5%)</f>
        <v>30402</v>
      </c>
      <c r="J65" s="10">
        <f t="shared" ref="J65:J128" si="9">IF(F65="","",(F65-H65)+I65)</f>
        <v>2057202</v>
      </c>
      <c r="K65" s="10">
        <f t="shared" ref="K65:K128" si="10">IF(F65="","",J65)</f>
        <v>2057202</v>
      </c>
      <c r="L65" s="6">
        <v>90</v>
      </c>
      <c r="M65" s="8">
        <f>IF(OR(C65="",L65=""),"",C65+L65)</f>
        <v>46341</v>
      </c>
      <c r="N65" s="11">
        <f t="shared" ref="N65:N128" ca="1" si="11">IF(M65="","",M65-TODAY())</f>
        <v>44</v>
      </c>
      <c r="O65" s="7" t="str">
        <f>IF(L65="","",L65&amp;" Day Due")</f>
        <v>90 Day Due</v>
      </c>
      <c r="P65" s="10">
        <f>IF(A65="","",SUMIFS('Partial Payment Log'!$E$4:$E$501,'Partial Payment Log'!$C$4:$C$501,A65))</f>
        <v>0</v>
      </c>
      <c r="Q65" s="10">
        <f>IF(A65="","",K65-P65)</f>
        <v>2057202</v>
      </c>
      <c r="R65" s="6" t="str">
        <f>IF(A65="","",IF(Q65&lt;=0,IF(Q65&lt;0,"Overpaid","Paid"),IF(P65&gt;0,"Part Paid","Unpaid")))</f>
        <v>Unpaid</v>
      </c>
    </row>
    <row r="66" spans="1:18" ht="15">
      <c r="A66" s="5" t="s">
        <v>153</v>
      </c>
      <c r="B66" s="5" t="s">
        <v>40</v>
      </c>
      <c r="C66" s="8">
        <v>46248</v>
      </c>
      <c r="D66" s="9">
        <v>20.96</v>
      </c>
      <c r="E66" s="10">
        <v>42000</v>
      </c>
      <c r="F66" s="10">
        <f t="shared" si="6"/>
        <v>880320</v>
      </c>
      <c r="G66" s="9">
        <v>5.44</v>
      </c>
      <c r="H66" s="10">
        <f t="shared" si="7"/>
        <v>228480.00000000003</v>
      </c>
      <c r="I66" s="10">
        <f t="shared" si="8"/>
        <v>9777.6</v>
      </c>
      <c r="J66" s="10">
        <f t="shared" si="9"/>
        <v>661617.6</v>
      </c>
      <c r="K66" s="10">
        <f t="shared" si="10"/>
        <v>661617.6</v>
      </c>
      <c r="L66" s="6">
        <v>90</v>
      </c>
      <c r="M66" s="8">
        <f>IF(OR(C66="",L66=""),"",C66+L66)</f>
        <v>46338</v>
      </c>
      <c r="N66" s="11">
        <f t="shared" ca="1" si="11"/>
        <v>41</v>
      </c>
      <c r="O66" s="7" t="str">
        <f>IF(L66="","",L66&amp;" Day Due")</f>
        <v>90 Day Due</v>
      </c>
      <c r="P66" s="10">
        <f>IF(A66="","",SUMIFS('Partial Payment Log'!$E$4:$E$501,'Partial Payment Log'!$C$4:$C$501,A66))</f>
        <v>0</v>
      </c>
      <c r="Q66" s="10">
        <f>IF(A66="","",K66-P66)</f>
        <v>661617.6</v>
      </c>
      <c r="R66" s="6" t="str">
        <f>IF(A66="","",IF(Q66&lt;=0,IF(Q66&lt;0,"Overpaid","Paid"),IF(P66&gt;0,"Part Paid","Unpaid")))</f>
        <v>Unpaid</v>
      </c>
    </row>
    <row r="67" spans="1:18" ht="15">
      <c r="A67" s="5" t="s">
        <v>154</v>
      </c>
      <c r="B67" s="5" t="s">
        <v>40</v>
      </c>
      <c r="C67" s="8">
        <v>46247</v>
      </c>
      <c r="D67" s="9">
        <v>17.7</v>
      </c>
      <c r="E67" s="10">
        <v>44000</v>
      </c>
      <c r="F67" s="10">
        <f t="shared" si="6"/>
        <v>778800</v>
      </c>
      <c r="G67" s="9">
        <v>6.87</v>
      </c>
      <c r="H67" s="10">
        <f t="shared" si="7"/>
        <v>302280</v>
      </c>
      <c r="I67" s="10">
        <f t="shared" si="8"/>
        <v>7147.8</v>
      </c>
      <c r="J67" s="10">
        <f t="shared" si="9"/>
        <v>483667.8</v>
      </c>
      <c r="K67" s="10">
        <f t="shared" si="10"/>
        <v>483667.8</v>
      </c>
      <c r="L67" s="6">
        <v>90</v>
      </c>
      <c r="M67" s="8">
        <f>IF(OR(C67="",L67=""),"",C67+L67)</f>
        <v>46337</v>
      </c>
      <c r="N67" s="11">
        <f t="shared" ca="1" si="11"/>
        <v>40</v>
      </c>
      <c r="O67" s="7" t="str">
        <f>IF(L67="","",L67&amp;" Day Due")</f>
        <v>90 Day Due</v>
      </c>
      <c r="P67" s="10">
        <f>IF(A67="","",SUMIFS('Partial Payment Log'!$E$4:$E$501,'Partial Payment Log'!$C$4:$C$501,A67))</f>
        <v>0</v>
      </c>
      <c r="Q67" s="10">
        <f>IF(A67="","",K67-P67)</f>
        <v>483667.8</v>
      </c>
      <c r="R67" s="6" t="str">
        <f>IF(A67="","",IF(Q67&lt;=0,IF(Q67&lt;0,"Overpaid","Paid"),IF(P67&gt;0,"Part Paid","Unpaid")))</f>
        <v>Unpaid</v>
      </c>
    </row>
    <row r="68" spans="1:18" ht="15">
      <c r="A68" s="5" t="s">
        <v>154</v>
      </c>
      <c r="B68" s="5" t="s">
        <v>40</v>
      </c>
      <c r="C68" s="8">
        <v>46247</v>
      </c>
      <c r="D68" s="9">
        <v>70.14</v>
      </c>
      <c r="E68" s="10">
        <v>42000</v>
      </c>
      <c r="F68" s="10">
        <f t="shared" si="6"/>
        <v>2945880</v>
      </c>
      <c r="G68" s="9">
        <v>31.28</v>
      </c>
      <c r="H68" s="10">
        <f t="shared" si="7"/>
        <v>1313760</v>
      </c>
      <c r="I68" s="10">
        <f t="shared" si="8"/>
        <v>24481.8</v>
      </c>
      <c r="J68" s="10">
        <f t="shared" si="9"/>
        <v>1656601.8</v>
      </c>
      <c r="K68" s="10">
        <f t="shared" si="10"/>
        <v>1656601.8</v>
      </c>
      <c r="L68" s="6">
        <v>90</v>
      </c>
      <c r="M68" s="8">
        <f>IF(OR(C68="",L68=""),"",C68+L68)</f>
        <v>46337</v>
      </c>
      <c r="N68" s="11">
        <f t="shared" ca="1" si="11"/>
        <v>40</v>
      </c>
      <c r="O68" s="7" t="str">
        <f>IF(L68="","",L68&amp;" Day Due")</f>
        <v>90 Day Due</v>
      </c>
      <c r="P68" s="10">
        <f>IF(A68="","",SUMIFS('Partial Payment Log'!$E$4:$E$501,'Partial Payment Log'!$C$4:$C$501,A68))</f>
        <v>0</v>
      </c>
      <c r="Q68" s="10">
        <f>IF(A68="","",K68-P68)</f>
        <v>1656601.8</v>
      </c>
      <c r="R68" s="6" t="str">
        <f>IF(A68="","",IF(Q68&lt;=0,IF(Q68&lt;0,"Overpaid","Paid"),IF(P68&gt;0,"Part Paid","Unpaid")))</f>
        <v>Unpaid</v>
      </c>
    </row>
    <row r="69" spans="1:18" ht="15">
      <c r="A69" s="5" t="s">
        <v>154</v>
      </c>
      <c r="B69" s="5" t="s">
        <v>40</v>
      </c>
      <c r="C69" s="8">
        <v>46247</v>
      </c>
      <c r="D69" s="9">
        <v>30.23</v>
      </c>
      <c r="E69" s="10">
        <v>36000</v>
      </c>
      <c r="F69" s="10">
        <f t="shared" si="6"/>
        <v>1088280</v>
      </c>
      <c r="G69" s="9">
        <v>12.21</v>
      </c>
      <c r="H69" s="10">
        <f t="shared" si="7"/>
        <v>439560.00000000006</v>
      </c>
      <c r="I69" s="10">
        <f t="shared" si="8"/>
        <v>9730.7999999999993</v>
      </c>
      <c r="J69" s="10">
        <f t="shared" si="9"/>
        <v>658450.80000000005</v>
      </c>
      <c r="K69" s="10">
        <f t="shared" si="10"/>
        <v>658450.80000000005</v>
      </c>
      <c r="L69" s="6">
        <v>90</v>
      </c>
      <c r="M69" s="8">
        <f>IF(OR(C69="",L69=""),"",C69+L69)</f>
        <v>46337</v>
      </c>
      <c r="N69" s="11">
        <f t="shared" ca="1" si="11"/>
        <v>40</v>
      </c>
      <c r="O69" s="7" t="str">
        <f>IF(L69="","",L69&amp;" Day Due")</f>
        <v>90 Day Due</v>
      </c>
      <c r="P69" s="10">
        <f>IF(A69="","",SUMIFS('Partial Payment Log'!$E$4:$E$501,'Partial Payment Log'!$C$4:$C$501,A69))</f>
        <v>0</v>
      </c>
      <c r="Q69" s="10">
        <f>IF(A69="","",K69-P69)</f>
        <v>658450.80000000005</v>
      </c>
      <c r="R69" s="6" t="str">
        <f>IF(A69="","",IF(Q69&lt;=0,IF(Q69&lt;0,"Overpaid","Paid"),IF(P69&gt;0,"Part Paid","Unpaid")))</f>
        <v>Unpaid</v>
      </c>
    </row>
    <row r="70" spans="1:18" ht="15">
      <c r="A70" s="5" t="s">
        <v>154</v>
      </c>
      <c r="B70" s="5" t="s">
        <v>40</v>
      </c>
      <c r="C70" s="8">
        <v>46247</v>
      </c>
      <c r="D70" s="9">
        <v>3.94</v>
      </c>
      <c r="E70" s="10">
        <v>75000</v>
      </c>
      <c r="F70" s="10">
        <f t="shared" si="6"/>
        <v>295500</v>
      </c>
      <c r="G70" s="9">
        <v>2.5499999999999998</v>
      </c>
      <c r="H70" s="10">
        <f t="shared" si="7"/>
        <v>191250</v>
      </c>
      <c r="I70" s="10">
        <f t="shared" si="8"/>
        <v>1563.75</v>
      </c>
      <c r="J70" s="10">
        <f t="shared" si="9"/>
        <v>105813.75</v>
      </c>
      <c r="K70" s="10">
        <f t="shared" si="10"/>
        <v>105813.75</v>
      </c>
      <c r="L70" s="6">
        <v>90</v>
      </c>
      <c r="M70" s="8">
        <f>IF(OR(C70="",L70=""),"",C70+L70)</f>
        <v>46337</v>
      </c>
      <c r="N70" s="11">
        <f t="shared" ca="1" si="11"/>
        <v>40</v>
      </c>
      <c r="O70" s="7" t="str">
        <f>IF(L70="","",L70&amp;" Day Due")</f>
        <v>90 Day Due</v>
      </c>
      <c r="P70" s="10">
        <f>IF(A70="","",SUMIFS('Partial Payment Log'!$E$4:$E$501,'Partial Payment Log'!$C$4:$C$501,A70))</f>
        <v>0</v>
      </c>
      <c r="Q70" s="10">
        <f>IF(A70="","",K70-P70)</f>
        <v>105813.75</v>
      </c>
      <c r="R70" s="6" t="str">
        <f>IF(A70="","",IF(Q70&lt;=0,IF(Q70&lt;0,"Overpaid","Paid"),IF(P70&gt;0,"Part Paid","Unpaid")))</f>
        <v>Unpaid</v>
      </c>
    </row>
    <row r="71" spans="1:18" ht="15">
      <c r="A71" s="5" t="s">
        <v>155</v>
      </c>
      <c r="B71" s="5" t="s">
        <v>42</v>
      </c>
      <c r="C71" s="8">
        <v>46272</v>
      </c>
      <c r="D71" s="9">
        <v>40.094999999999999</v>
      </c>
      <c r="E71" s="10">
        <v>41000</v>
      </c>
      <c r="F71" s="10">
        <f t="shared" si="6"/>
        <v>1643895</v>
      </c>
      <c r="G71" s="9">
        <v>0</v>
      </c>
      <c r="H71" s="10">
        <f t="shared" si="7"/>
        <v>0</v>
      </c>
      <c r="I71" s="10">
        <f t="shared" si="8"/>
        <v>24658.424999999999</v>
      </c>
      <c r="J71" s="10">
        <f t="shared" si="9"/>
        <v>1668553.425</v>
      </c>
      <c r="K71" s="10">
        <f t="shared" si="10"/>
        <v>1668553.425</v>
      </c>
      <c r="L71" s="6">
        <v>90</v>
      </c>
      <c r="M71" s="8">
        <f>IF(OR(C71="",L71=""),"",C71+L71)</f>
        <v>46362</v>
      </c>
      <c r="N71" s="11">
        <f t="shared" ca="1" si="11"/>
        <v>65</v>
      </c>
      <c r="O71" s="7" t="str">
        <f>IF(L71="","",L71&amp;" Day Due")</f>
        <v>90 Day Due</v>
      </c>
      <c r="P71" s="10">
        <f>IF(A71="","",SUMIFS('Partial Payment Log'!$E$4:$E$501,'Partial Payment Log'!$C$4:$C$501,A71))</f>
        <v>0</v>
      </c>
      <c r="Q71" s="10">
        <f>IF(A71="","",K71-P71)</f>
        <v>1668553.425</v>
      </c>
      <c r="R71" s="6" t="str">
        <f>IF(A71="","",IF(Q71&lt;=0,IF(Q71&lt;0,"Overpaid","Paid"),IF(P71&gt;0,"Part Paid","Unpaid")))</f>
        <v>Unpaid</v>
      </c>
    </row>
    <row r="72" spans="1:18" ht="15">
      <c r="A72" s="5" t="s">
        <v>156</v>
      </c>
      <c r="B72" s="5" t="s">
        <v>36</v>
      </c>
      <c r="C72" s="8">
        <v>46276</v>
      </c>
      <c r="D72" s="9">
        <v>73.16</v>
      </c>
      <c r="E72" s="10">
        <v>41000</v>
      </c>
      <c r="F72" s="10">
        <f t="shared" si="6"/>
        <v>2999560</v>
      </c>
      <c r="G72" s="9">
        <v>0</v>
      </c>
      <c r="H72" s="10">
        <f t="shared" si="7"/>
        <v>0</v>
      </c>
      <c r="I72" s="10">
        <f t="shared" si="8"/>
        <v>44993.4</v>
      </c>
      <c r="J72" s="10">
        <f t="shared" si="9"/>
        <v>3044553.4</v>
      </c>
      <c r="K72" s="10">
        <f t="shared" si="10"/>
        <v>3044553.4</v>
      </c>
      <c r="L72" s="6"/>
      <c r="M72" s="8" t="str">
        <f>IF(OR(C72="",L72=""),"",C72+L72)</f>
        <v/>
      </c>
      <c r="N72" s="11" t="str">
        <f t="shared" ca="1" si="11"/>
        <v/>
      </c>
      <c r="O72" s="7" t="str">
        <f>IF(L72="","",L72&amp;" Day Due")</f>
        <v/>
      </c>
      <c r="P72" s="10">
        <f>IF(A72="","",SUMIFS('Partial Payment Log'!$E$4:$E$501,'Partial Payment Log'!$C$4:$C$501,A72))</f>
        <v>0</v>
      </c>
      <c r="Q72" s="10">
        <f>IF(A72="","",K72-P72)</f>
        <v>3044553.4</v>
      </c>
      <c r="R72" s="6" t="str">
        <f>IF(A72="","",IF(Q72&lt;=0,IF(Q72&lt;0,"Overpaid","Paid"),IF(P72&gt;0,"Part Paid","Unpaid")))</f>
        <v>Unpaid</v>
      </c>
    </row>
    <row r="73" spans="1:18" ht="15">
      <c r="A73" s="5"/>
      <c r="B73" s="5"/>
      <c r="C73" s="8"/>
      <c r="D73" s="9"/>
      <c r="E73" s="10"/>
      <c r="F73" s="10" t="str">
        <f t="shared" si="6"/>
        <v/>
      </c>
      <c r="G73" s="9"/>
      <c r="H73" s="10" t="str">
        <f t="shared" si="7"/>
        <v/>
      </c>
      <c r="I73" s="10" t="str">
        <f t="shared" si="8"/>
        <v/>
      </c>
      <c r="J73" s="10" t="str">
        <f t="shared" si="9"/>
        <v/>
      </c>
      <c r="K73" s="10" t="str">
        <f t="shared" si="10"/>
        <v/>
      </c>
      <c r="L73" s="6"/>
      <c r="M73" s="8" t="str">
        <f>IF(OR(C73="",L73=""),"",C73+L73)</f>
        <v/>
      </c>
      <c r="N73" s="11" t="str">
        <f t="shared" ca="1" si="11"/>
        <v/>
      </c>
      <c r="O73" s="7" t="str">
        <f>IF(L73="","",L73&amp;" Day Due")</f>
        <v/>
      </c>
      <c r="P73" s="10" t="str">
        <f>IF(A73="","",SUMIFS('Partial Payment Log'!$E$4:$E$501,'Partial Payment Log'!$C$4:$C$501,A73))</f>
        <v/>
      </c>
      <c r="Q73" s="10" t="str">
        <f>IF(A73="","",K73-P73)</f>
        <v/>
      </c>
      <c r="R73" s="6" t="str">
        <f>IF(A73="","",IF(Q73&lt;=0,IF(Q73&lt;0,"Overpaid","Paid"),IF(P73&gt;0,"Part Paid","Unpaid")))</f>
        <v/>
      </c>
    </row>
    <row r="74" spans="1:18" ht="15">
      <c r="A74" s="5"/>
      <c r="B74" s="5"/>
      <c r="C74" s="8"/>
      <c r="D74" s="9"/>
      <c r="E74" s="10"/>
      <c r="F74" s="10" t="str">
        <f t="shared" si="6"/>
        <v/>
      </c>
      <c r="G74" s="9"/>
      <c r="H74" s="10" t="str">
        <f t="shared" si="7"/>
        <v/>
      </c>
      <c r="I74" s="10" t="str">
        <f t="shared" si="8"/>
        <v/>
      </c>
      <c r="J74" s="10" t="str">
        <f t="shared" si="9"/>
        <v/>
      </c>
      <c r="K74" s="10" t="str">
        <f t="shared" si="10"/>
        <v/>
      </c>
      <c r="L74" s="6"/>
      <c r="M74" s="8" t="str">
        <f>IF(OR(C74="",L74=""),"",C74+L74)</f>
        <v/>
      </c>
      <c r="N74" s="11" t="str">
        <f t="shared" ca="1" si="11"/>
        <v/>
      </c>
      <c r="O74" s="7" t="str">
        <f>IF(L74="","",L74&amp;" Day Due")</f>
        <v/>
      </c>
      <c r="P74" s="10" t="str">
        <f>IF(A74="","",SUMIFS('Partial Payment Log'!$E$4:$E$501,'Partial Payment Log'!$C$4:$C$501,A74))</f>
        <v/>
      </c>
      <c r="Q74" s="10" t="str">
        <f>IF(A74="","",K74-P74)</f>
        <v/>
      </c>
      <c r="R74" s="6" t="str">
        <f>IF(A74="","",IF(Q74&lt;=0,IF(Q74&lt;0,"Overpaid","Paid"),IF(P74&gt;0,"Part Paid","Unpaid")))</f>
        <v/>
      </c>
    </row>
    <row r="75" spans="1:18" ht="15">
      <c r="A75" s="5"/>
      <c r="B75" s="5"/>
      <c r="C75" s="8"/>
      <c r="D75" s="9"/>
      <c r="E75" s="10"/>
      <c r="F75" s="10" t="str">
        <f t="shared" si="6"/>
        <v/>
      </c>
      <c r="G75" s="9"/>
      <c r="H75" s="10" t="str">
        <f t="shared" si="7"/>
        <v/>
      </c>
      <c r="I75" s="10" t="str">
        <f t="shared" si="8"/>
        <v/>
      </c>
      <c r="J75" s="10" t="str">
        <f t="shared" si="9"/>
        <v/>
      </c>
      <c r="K75" s="10" t="str">
        <f t="shared" si="10"/>
        <v/>
      </c>
      <c r="L75" s="6"/>
      <c r="M75" s="8" t="str">
        <f>IF(OR(C75="",L75=""),"",C75+L75)</f>
        <v/>
      </c>
      <c r="N75" s="11" t="str">
        <f t="shared" ca="1" si="11"/>
        <v/>
      </c>
      <c r="O75" s="7" t="str">
        <f>IF(L75="","",L75&amp;" Day Due")</f>
        <v/>
      </c>
      <c r="P75" s="10" t="str">
        <f>IF(A75="","",SUMIFS('Partial Payment Log'!$E$4:$E$501,'Partial Payment Log'!$C$4:$C$501,A75))</f>
        <v/>
      </c>
      <c r="Q75" s="10" t="str">
        <f>IF(A75="","",K75-P75)</f>
        <v/>
      </c>
      <c r="R75" s="6" t="str">
        <f>IF(A75="","",IF(Q75&lt;=0,IF(Q75&lt;0,"Overpaid","Paid"),IF(P75&gt;0,"Part Paid","Unpaid")))</f>
        <v/>
      </c>
    </row>
    <row r="76" spans="1:18" ht="15">
      <c r="A76" s="5"/>
      <c r="B76" s="5"/>
      <c r="C76" s="8"/>
      <c r="D76" s="9"/>
      <c r="E76" s="10"/>
      <c r="F76" s="10" t="str">
        <f t="shared" si="6"/>
        <v/>
      </c>
      <c r="G76" s="9"/>
      <c r="H76" s="10" t="str">
        <f t="shared" si="7"/>
        <v/>
      </c>
      <c r="I76" s="10" t="str">
        <f t="shared" si="8"/>
        <v/>
      </c>
      <c r="J76" s="10" t="str">
        <f t="shared" si="9"/>
        <v/>
      </c>
      <c r="K76" s="10" t="str">
        <f t="shared" si="10"/>
        <v/>
      </c>
      <c r="L76" s="6"/>
      <c r="M76" s="8" t="str">
        <f>IF(OR(C76="",L76=""),"",C76+L76)</f>
        <v/>
      </c>
      <c r="N76" s="11" t="str">
        <f t="shared" ca="1" si="11"/>
        <v/>
      </c>
      <c r="O76" s="7" t="str">
        <f>IF(L76="","",L76&amp;" Day Due")</f>
        <v/>
      </c>
      <c r="P76" s="10" t="str">
        <f>IF(A76="","",SUMIFS('Partial Payment Log'!$E$4:$E$501,'Partial Payment Log'!$C$4:$C$501,A76))</f>
        <v/>
      </c>
      <c r="Q76" s="10" t="str">
        <f>IF(A76="","",K76-P76)</f>
        <v/>
      </c>
      <c r="R76" s="6" t="str">
        <f>IF(A76="","",IF(Q76&lt;=0,IF(Q76&lt;0,"Overpaid","Paid"),IF(P76&gt;0,"Part Paid","Unpaid")))</f>
        <v/>
      </c>
    </row>
    <row r="77" spans="1:18" ht="15">
      <c r="A77" s="5"/>
      <c r="B77" s="5"/>
      <c r="C77" s="8"/>
      <c r="D77" s="9"/>
      <c r="E77" s="10"/>
      <c r="F77" s="10" t="str">
        <f t="shared" si="6"/>
        <v/>
      </c>
      <c r="G77" s="9"/>
      <c r="H77" s="10" t="str">
        <f t="shared" si="7"/>
        <v/>
      </c>
      <c r="I77" s="10" t="str">
        <f t="shared" si="8"/>
        <v/>
      </c>
      <c r="J77" s="10" t="str">
        <f t="shared" si="9"/>
        <v/>
      </c>
      <c r="K77" s="10" t="str">
        <f t="shared" si="10"/>
        <v/>
      </c>
      <c r="L77" s="6"/>
      <c r="M77" s="8" t="str">
        <f>IF(OR(C77="",L77=""),"",C77+L77)</f>
        <v/>
      </c>
      <c r="N77" s="11" t="str">
        <f t="shared" ca="1" si="11"/>
        <v/>
      </c>
      <c r="O77" s="7" t="str">
        <f>IF(L77="","",L77&amp;" Day Due")</f>
        <v/>
      </c>
      <c r="P77" s="10" t="str">
        <f>IF(A77="","",SUMIFS('Partial Payment Log'!$E$4:$E$501,'Partial Payment Log'!$C$4:$C$501,A77))</f>
        <v/>
      </c>
      <c r="Q77" s="10" t="str">
        <f>IF(A77="","",K77-P77)</f>
        <v/>
      </c>
      <c r="R77" s="6" t="str">
        <f>IF(A77="","",IF(Q77&lt;=0,IF(Q77&lt;0,"Overpaid","Paid"),IF(P77&gt;0,"Part Paid","Unpaid")))</f>
        <v/>
      </c>
    </row>
    <row r="78" spans="1:18" ht="15">
      <c r="A78" s="5"/>
      <c r="B78" s="5"/>
      <c r="C78" s="8"/>
      <c r="D78" s="9"/>
      <c r="E78" s="10"/>
      <c r="F78" s="10" t="str">
        <f t="shared" si="6"/>
        <v/>
      </c>
      <c r="G78" s="9"/>
      <c r="H78" s="10" t="str">
        <f t="shared" si="7"/>
        <v/>
      </c>
      <c r="I78" s="10" t="str">
        <f t="shared" si="8"/>
        <v/>
      </c>
      <c r="J78" s="10" t="str">
        <f t="shared" si="9"/>
        <v/>
      </c>
      <c r="K78" s="10" t="str">
        <f t="shared" si="10"/>
        <v/>
      </c>
      <c r="L78" s="6"/>
      <c r="M78" s="8" t="str">
        <f>IF(OR(C78="",L78=""),"",C78+L78)</f>
        <v/>
      </c>
      <c r="N78" s="11" t="str">
        <f t="shared" ca="1" si="11"/>
        <v/>
      </c>
      <c r="O78" s="7" t="str">
        <f>IF(L78="","",L78&amp;" Day Due")</f>
        <v/>
      </c>
      <c r="P78" s="10" t="str">
        <f>IF(A78="","",SUMIFS('Partial Payment Log'!$E$4:$E$501,'Partial Payment Log'!$C$4:$C$501,A78))</f>
        <v/>
      </c>
      <c r="Q78" s="10" t="str">
        <f>IF(A78="","",K78-P78)</f>
        <v/>
      </c>
      <c r="R78" s="6" t="str">
        <f>IF(A78="","",IF(Q78&lt;=0,IF(Q78&lt;0,"Overpaid","Paid"),IF(P78&gt;0,"Part Paid","Unpaid")))</f>
        <v/>
      </c>
    </row>
    <row r="79" spans="1:18" ht="15">
      <c r="A79" s="5"/>
      <c r="B79" s="5"/>
      <c r="C79" s="8"/>
      <c r="D79" s="9"/>
      <c r="E79" s="10"/>
      <c r="F79" s="10" t="str">
        <f t="shared" si="6"/>
        <v/>
      </c>
      <c r="G79" s="9"/>
      <c r="H79" s="10" t="str">
        <f t="shared" si="7"/>
        <v/>
      </c>
      <c r="I79" s="10" t="str">
        <f t="shared" si="8"/>
        <v/>
      </c>
      <c r="J79" s="10" t="str">
        <f t="shared" si="9"/>
        <v/>
      </c>
      <c r="K79" s="10" t="str">
        <f t="shared" si="10"/>
        <v/>
      </c>
      <c r="L79" s="6"/>
      <c r="M79" s="8" t="str">
        <f>IF(OR(C79="",L79=""),"",C79+L79)</f>
        <v/>
      </c>
      <c r="N79" s="11" t="str">
        <f t="shared" ca="1" si="11"/>
        <v/>
      </c>
      <c r="O79" s="7" t="str">
        <f>IF(L79="","",L79&amp;" Day Due")</f>
        <v/>
      </c>
      <c r="P79" s="10" t="str">
        <f>IF(A79="","",SUMIFS('Partial Payment Log'!$E$4:$E$501,'Partial Payment Log'!$C$4:$C$501,A79))</f>
        <v/>
      </c>
      <c r="Q79" s="10" t="str">
        <f>IF(A79="","",K79-P79)</f>
        <v/>
      </c>
      <c r="R79" s="6" t="str">
        <f>IF(A79="","",IF(Q79&lt;=0,IF(Q79&lt;0,"Overpaid","Paid"),IF(P79&gt;0,"Part Paid","Unpaid")))</f>
        <v/>
      </c>
    </row>
    <row r="80" spans="1:18" ht="15">
      <c r="A80" s="5"/>
      <c r="B80" s="5"/>
      <c r="C80" s="8"/>
      <c r="D80" s="9"/>
      <c r="E80" s="10"/>
      <c r="F80" s="10" t="str">
        <f t="shared" si="6"/>
        <v/>
      </c>
      <c r="G80" s="9"/>
      <c r="H80" s="10" t="str">
        <f t="shared" si="7"/>
        <v/>
      </c>
      <c r="I80" s="10" t="str">
        <f t="shared" si="8"/>
        <v/>
      </c>
      <c r="J80" s="10" t="str">
        <f t="shared" si="9"/>
        <v/>
      </c>
      <c r="K80" s="10" t="str">
        <f t="shared" si="10"/>
        <v/>
      </c>
      <c r="L80" s="6"/>
      <c r="M80" s="8" t="str">
        <f>IF(OR(C80="",L80=""),"",C80+L80)</f>
        <v/>
      </c>
      <c r="N80" s="11" t="str">
        <f t="shared" ca="1" si="11"/>
        <v/>
      </c>
      <c r="O80" s="7" t="str">
        <f>IF(L80="","",L80&amp;" Day Due")</f>
        <v/>
      </c>
      <c r="P80" s="10" t="str">
        <f>IF(A80="","",SUMIFS('Partial Payment Log'!$E$4:$E$501,'Partial Payment Log'!$C$4:$C$501,A80))</f>
        <v/>
      </c>
      <c r="Q80" s="10" t="str">
        <f>IF(A80="","",K80-P80)</f>
        <v/>
      </c>
      <c r="R80" s="6" t="str">
        <f>IF(A80="","",IF(Q80&lt;=0,IF(Q80&lt;0,"Overpaid","Paid"),IF(P80&gt;0,"Part Paid","Unpaid")))</f>
        <v/>
      </c>
    </row>
    <row r="81" spans="1:18" ht="15">
      <c r="A81" s="5"/>
      <c r="B81" s="5"/>
      <c r="C81" s="8"/>
      <c r="D81" s="9"/>
      <c r="E81" s="10"/>
      <c r="F81" s="10" t="str">
        <f t="shared" si="6"/>
        <v/>
      </c>
      <c r="G81" s="9"/>
      <c r="H81" s="10" t="str">
        <f t="shared" si="7"/>
        <v/>
      </c>
      <c r="I81" s="10" t="str">
        <f t="shared" si="8"/>
        <v/>
      </c>
      <c r="J81" s="10" t="str">
        <f t="shared" si="9"/>
        <v/>
      </c>
      <c r="K81" s="10" t="str">
        <f t="shared" si="10"/>
        <v/>
      </c>
      <c r="L81" s="6"/>
      <c r="M81" s="8" t="str">
        <f>IF(OR(C81="",L81=""),"",C81+L81)</f>
        <v/>
      </c>
      <c r="N81" s="11" t="str">
        <f t="shared" ca="1" si="11"/>
        <v/>
      </c>
      <c r="O81" s="7" t="str">
        <f>IF(L81="","",L81&amp;" Day Due")</f>
        <v/>
      </c>
      <c r="P81" s="10" t="str">
        <f>IF(A81="","",SUMIFS('Partial Payment Log'!$E$4:$E$501,'Partial Payment Log'!$C$4:$C$501,A81))</f>
        <v/>
      </c>
      <c r="Q81" s="10" t="str">
        <f>IF(A81="","",K81-P81)</f>
        <v/>
      </c>
      <c r="R81" s="6" t="str">
        <f>IF(A81="","",IF(Q81&lt;=0,IF(Q81&lt;0,"Overpaid","Paid"),IF(P81&gt;0,"Part Paid","Unpaid")))</f>
        <v/>
      </c>
    </row>
    <row r="82" spans="1:18" ht="15">
      <c r="A82" s="5"/>
      <c r="B82" s="5"/>
      <c r="C82" s="8"/>
      <c r="D82" s="9"/>
      <c r="E82" s="10"/>
      <c r="F82" s="10" t="str">
        <f t="shared" si="6"/>
        <v/>
      </c>
      <c r="G82" s="9"/>
      <c r="H82" s="10" t="str">
        <f t="shared" si="7"/>
        <v/>
      </c>
      <c r="I82" s="10" t="str">
        <f t="shared" si="8"/>
        <v/>
      </c>
      <c r="J82" s="10" t="str">
        <f t="shared" si="9"/>
        <v/>
      </c>
      <c r="K82" s="10" t="str">
        <f t="shared" si="10"/>
        <v/>
      </c>
      <c r="L82" s="6"/>
      <c r="M82" s="8" t="str">
        <f>IF(OR(C82="",L82=""),"",C82+L82)</f>
        <v/>
      </c>
      <c r="N82" s="11" t="str">
        <f t="shared" ca="1" si="11"/>
        <v/>
      </c>
      <c r="O82" s="7" t="str">
        <f>IF(L82="","",L82&amp;" Day Due")</f>
        <v/>
      </c>
      <c r="P82" s="10" t="str">
        <f>IF(A82="","",SUMIFS('Partial Payment Log'!$E$4:$E$501,'Partial Payment Log'!$C$4:$C$501,A82))</f>
        <v/>
      </c>
      <c r="Q82" s="10" t="str">
        <f>IF(A82="","",K82-P82)</f>
        <v/>
      </c>
      <c r="R82" s="6" t="str">
        <f>IF(A82="","",IF(Q82&lt;=0,IF(Q82&lt;0,"Overpaid","Paid"),IF(P82&gt;0,"Part Paid","Unpaid")))</f>
        <v/>
      </c>
    </row>
    <row r="83" spans="1:18" ht="15">
      <c r="A83" s="5"/>
      <c r="B83" s="5"/>
      <c r="C83" s="8"/>
      <c r="D83" s="9"/>
      <c r="E83" s="10"/>
      <c r="F83" s="10" t="str">
        <f t="shared" si="6"/>
        <v/>
      </c>
      <c r="G83" s="9"/>
      <c r="H83" s="10" t="str">
        <f t="shared" si="7"/>
        <v/>
      </c>
      <c r="I83" s="10" t="str">
        <f t="shared" si="8"/>
        <v/>
      </c>
      <c r="J83" s="10" t="str">
        <f t="shared" si="9"/>
        <v/>
      </c>
      <c r="K83" s="10" t="str">
        <f t="shared" si="10"/>
        <v/>
      </c>
      <c r="L83" s="6"/>
      <c r="M83" s="8" t="str">
        <f>IF(OR(C83="",L83=""),"",C83+L83)</f>
        <v/>
      </c>
      <c r="N83" s="11" t="str">
        <f t="shared" ca="1" si="11"/>
        <v/>
      </c>
      <c r="O83" s="7" t="str">
        <f>IF(L83="","",L83&amp;" Day Due")</f>
        <v/>
      </c>
      <c r="P83" s="10" t="str">
        <f>IF(A83="","",SUMIFS('Partial Payment Log'!$E$4:$E$501,'Partial Payment Log'!$C$4:$C$501,A83))</f>
        <v/>
      </c>
      <c r="Q83" s="10" t="str">
        <f>IF(A83="","",K83-P83)</f>
        <v/>
      </c>
      <c r="R83" s="6" t="str">
        <f>IF(A83="","",IF(Q83&lt;=0,IF(Q83&lt;0,"Overpaid","Paid"),IF(P83&gt;0,"Part Paid","Unpaid")))</f>
        <v/>
      </c>
    </row>
    <row r="84" spans="1:18" ht="15">
      <c r="A84" s="5"/>
      <c r="B84" s="5"/>
      <c r="C84" s="8"/>
      <c r="D84" s="9"/>
      <c r="E84" s="10"/>
      <c r="F84" s="10" t="str">
        <f t="shared" si="6"/>
        <v/>
      </c>
      <c r="G84" s="9"/>
      <c r="H84" s="10" t="str">
        <f t="shared" si="7"/>
        <v/>
      </c>
      <c r="I84" s="10" t="str">
        <f t="shared" si="8"/>
        <v/>
      </c>
      <c r="J84" s="10" t="str">
        <f t="shared" si="9"/>
        <v/>
      </c>
      <c r="K84" s="10" t="str">
        <f t="shared" si="10"/>
        <v/>
      </c>
      <c r="L84" s="6"/>
      <c r="M84" s="8" t="str">
        <f>IF(OR(C84="",L84=""),"",C84+L84)</f>
        <v/>
      </c>
      <c r="N84" s="11" t="str">
        <f t="shared" ca="1" si="11"/>
        <v/>
      </c>
      <c r="O84" s="7" t="str">
        <f>IF(L84="","",L84&amp;" Day Due")</f>
        <v/>
      </c>
      <c r="P84" s="10" t="str">
        <f>IF(A84="","",SUMIFS('Partial Payment Log'!$E$4:$E$501,'Partial Payment Log'!$C$4:$C$501,A84))</f>
        <v/>
      </c>
      <c r="Q84" s="10" t="str">
        <f>IF(A84="","",K84-P84)</f>
        <v/>
      </c>
      <c r="R84" s="6" t="str">
        <f>IF(A84="","",IF(Q84&lt;=0,IF(Q84&lt;0,"Overpaid","Paid"),IF(P84&gt;0,"Part Paid","Unpaid")))</f>
        <v/>
      </c>
    </row>
    <row r="85" spans="1:18" ht="15">
      <c r="A85" s="5"/>
      <c r="B85" s="5"/>
      <c r="C85" s="8"/>
      <c r="D85" s="9"/>
      <c r="E85" s="10"/>
      <c r="F85" s="10" t="str">
        <f t="shared" si="6"/>
        <v/>
      </c>
      <c r="G85" s="9"/>
      <c r="H85" s="10" t="str">
        <f t="shared" si="7"/>
        <v/>
      </c>
      <c r="I85" s="10" t="str">
        <f t="shared" si="8"/>
        <v/>
      </c>
      <c r="J85" s="10" t="str">
        <f t="shared" si="9"/>
        <v/>
      </c>
      <c r="K85" s="10" t="str">
        <f t="shared" si="10"/>
        <v/>
      </c>
      <c r="L85" s="6"/>
      <c r="M85" s="8" t="str">
        <f>IF(OR(C85="",L85=""),"",C85+L85)</f>
        <v/>
      </c>
      <c r="N85" s="11" t="str">
        <f t="shared" ca="1" si="11"/>
        <v/>
      </c>
      <c r="O85" s="7" t="str">
        <f>IF(L85="","",L85&amp;" Day Due")</f>
        <v/>
      </c>
      <c r="P85" s="10" t="str">
        <f>IF(A85="","",SUMIFS('Partial Payment Log'!$E$4:$E$501,'Partial Payment Log'!$C$4:$C$501,A85))</f>
        <v/>
      </c>
      <c r="Q85" s="10" t="str">
        <f>IF(A85="","",K85-P85)</f>
        <v/>
      </c>
      <c r="R85" s="6" t="str">
        <f>IF(A85="","",IF(Q85&lt;=0,IF(Q85&lt;0,"Overpaid","Paid"),IF(P85&gt;0,"Part Paid","Unpaid")))</f>
        <v/>
      </c>
    </row>
    <row r="86" spans="1:18" ht="15">
      <c r="A86" s="5"/>
      <c r="B86" s="5"/>
      <c r="C86" s="8"/>
      <c r="D86" s="9"/>
      <c r="E86" s="10"/>
      <c r="F86" s="10" t="str">
        <f t="shared" si="6"/>
        <v/>
      </c>
      <c r="G86" s="9"/>
      <c r="H86" s="10" t="str">
        <f t="shared" si="7"/>
        <v/>
      </c>
      <c r="I86" s="10" t="str">
        <f t="shared" si="8"/>
        <v/>
      </c>
      <c r="J86" s="10" t="str">
        <f t="shared" si="9"/>
        <v/>
      </c>
      <c r="K86" s="10" t="str">
        <f t="shared" si="10"/>
        <v/>
      </c>
      <c r="L86" s="6"/>
      <c r="M86" s="8" t="str">
        <f>IF(OR(C86="",L86=""),"",C86+L86)</f>
        <v/>
      </c>
      <c r="N86" s="11" t="str">
        <f t="shared" ca="1" si="11"/>
        <v/>
      </c>
      <c r="O86" s="7" t="str">
        <f>IF(L86="","",L86&amp;" Day Due")</f>
        <v/>
      </c>
      <c r="P86" s="10" t="str">
        <f>IF(A86="","",SUMIFS('Partial Payment Log'!$E$4:$E$501,'Partial Payment Log'!$C$4:$C$501,A86))</f>
        <v/>
      </c>
      <c r="Q86" s="10" t="str">
        <f>IF(A86="","",K86-P86)</f>
        <v/>
      </c>
      <c r="R86" s="6" t="str">
        <f>IF(A86="","",IF(Q86&lt;=0,IF(Q86&lt;0,"Overpaid","Paid"),IF(P86&gt;0,"Part Paid","Unpaid")))</f>
        <v/>
      </c>
    </row>
    <row r="87" spans="1:18" ht="15">
      <c r="A87" s="5"/>
      <c r="B87" s="5"/>
      <c r="C87" s="8"/>
      <c r="D87" s="9"/>
      <c r="E87" s="10"/>
      <c r="F87" s="10" t="str">
        <f t="shared" si="6"/>
        <v/>
      </c>
      <c r="G87" s="9"/>
      <c r="H87" s="10" t="str">
        <f t="shared" si="7"/>
        <v/>
      </c>
      <c r="I87" s="10" t="str">
        <f t="shared" si="8"/>
        <v/>
      </c>
      <c r="J87" s="10" t="str">
        <f t="shared" si="9"/>
        <v/>
      </c>
      <c r="K87" s="10" t="str">
        <f t="shared" si="10"/>
        <v/>
      </c>
      <c r="L87" s="6"/>
      <c r="M87" s="8" t="str">
        <f>IF(OR(C87="",L87=""),"",C87+L87)</f>
        <v/>
      </c>
      <c r="N87" s="11" t="str">
        <f t="shared" ca="1" si="11"/>
        <v/>
      </c>
      <c r="O87" s="7" t="str">
        <f>IF(L87="","",L87&amp;" Day Due")</f>
        <v/>
      </c>
      <c r="P87" s="10" t="str">
        <f>IF(A87="","",SUMIFS('Partial Payment Log'!$E$4:$E$501,'Partial Payment Log'!$C$4:$C$501,A87))</f>
        <v/>
      </c>
      <c r="Q87" s="10" t="str">
        <f>IF(A87="","",K87-P87)</f>
        <v/>
      </c>
      <c r="R87" s="6" t="str">
        <f>IF(A87="","",IF(Q87&lt;=0,IF(Q87&lt;0,"Overpaid","Paid"),IF(P87&gt;0,"Part Paid","Unpaid")))</f>
        <v/>
      </c>
    </row>
    <row r="88" spans="1:18" ht="15">
      <c r="A88" s="5"/>
      <c r="B88" s="5"/>
      <c r="C88" s="8"/>
      <c r="D88" s="9"/>
      <c r="E88" s="10"/>
      <c r="F88" s="10" t="str">
        <f t="shared" si="6"/>
        <v/>
      </c>
      <c r="G88" s="9"/>
      <c r="H88" s="10" t="str">
        <f t="shared" si="7"/>
        <v/>
      </c>
      <c r="I88" s="10" t="str">
        <f t="shared" si="8"/>
        <v/>
      </c>
      <c r="J88" s="10" t="str">
        <f t="shared" si="9"/>
        <v/>
      </c>
      <c r="K88" s="10" t="str">
        <f t="shared" si="10"/>
        <v/>
      </c>
      <c r="L88" s="6"/>
      <c r="M88" s="8" t="str">
        <f>IF(OR(C88="",L88=""),"",C88+L88)</f>
        <v/>
      </c>
      <c r="N88" s="11" t="str">
        <f t="shared" ca="1" si="11"/>
        <v/>
      </c>
      <c r="O88" s="7" t="str">
        <f>IF(L88="","",L88&amp;" Day Due")</f>
        <v/>
      </c>
      <c r="P88" s="10" t="str">
        <f>IF(A88="","",SUMIFS('Partial Payment Log'!$E$4:$E$501,'Partial Payment Log'!$C$4:$C$501,A88))</f>
        <v/>
      </c>
      <c r="Q88" s="10" t="str">
        <f>IF(A88="","",K88-P88)</f>
        <v/>
      </c>
      <c r="R88" s="6" t="str">
        <f>IF(A88="","",IF(Q88&lt;=0,IF(Q88&lt;0,"Overpaid","Paid"),IF(P88&gt;0,"Part Paid","Unpaid")))</f>
        <v/>
      </c>
    </row>
    <row r="89" spans="1:18" ht="15">
      <c r="A89" s="5"/>
      <c r="B89" s="5"/>
      <c r="C89" s="8"/>
      <c r="D89" s="9"/>
      <c r="E89" s="10"/>
      <c r="F89" s="10" t="str">
        <f t="shared" si="6"/>
        <v/>
      </c>
      <c r="G89" s="9"/>
      <c r="H89" s="10" t="str">
        <f t="shared" si="7"/>
        <v/>
      </c>
      <c r="I89" s="10" t="str">
        <f t="shared" si="8"/>
        <v/>
      </c>
      <c r="J89" s="10" t="str">
        <f t="shared" si="9"/>
        <v/>
      </c>
      <c r="K89" s="10" t="str">
        <f t="shared" si="10"/>
        <v/>
      </c>
      <c r="L89" s="6"/>
      <c r="M89" s="8" t="str">
        <f>IF(OR(C89="",L89=""),"",C89+L89)</f>
        <v/>
      </c>
      <c r="N89" s="11" t="str">
        <f t="shared" ca="1" si="11"/>
        <v/>
      </c>
      <c r="O89" s="7" t="str">
        <f>IF(L89="","",L89&amp;" Day Due")</f>
        <v/>
      </c>
      <c r="P89" s="10" t="str">
        <f>IF(A89="","",SUMIFS('Partial Payment Log'!$E$4:$E$501,'Partial Payment Log'!$C$4:$C$501,A89))</f>
        <v/>
      </c>
      <c r="Q89" s="10" t="str">
        <f>IF(A89="","",K89-P89)</f>
        <v/>
      </c>
      <c r="R89" s="6" t="str">
        <f>IF(A89="","",IF(Q89&lt;=0,IF(Q89&lt;0,"Overpaid","Paid"),IF(P89&gt;0,"Part Paid","Unpaid")))</f>
        <v/>
      </c>
    </row>
    <row r="90" spans="1:18" ht="15">
      <c r="A90" s="5"/>
      <c r="B90" s="5"/>
      <c r="C90" s="8"/>
      <c r="D90" s="9"/>
      <c r="E90" s="10"/>
      <c r="F90" s="10" t="str">
        <f t="shared" si="6"/>
        <v/>
      </c>
      <c r="G90" s="9"/>
      <c r="H90" s="10" t="str">
        <f t="shared" si="7"/>
        <v/>
      </c>
      <c r="I90" s="10" t="str">
        <f t="shared" si="8"/>
        <v/>
      </c>
      <c r="J90" s="10" t="str">
        <f t="shared" si="9"/>
        <v/>
      </c>
      <c r="K90" s="10" t="str">
        <f t="shared" si="10"/>
        <v/>
      </c>
      <c r="L90" s="6"/>
      <c r="M90" s="8" t="str">
        <f>IF(OR(C90="",L90=""),"",C90+L90)</f>
        <v/>
      </c>
      <c r="N90" s="11" t="str">
        <f t="shared" ca="1" si="11"/>
        <v/>
      </c>
      <c r="O90" s="7" t="str">
        <f>IF(L90="","",L90&amp;" Day Due")</f>
        <v/>
      </c>
      <c r="P90" s="10" t="str">
        <f>IF(A90="","",SUMIFS('Partial Payment Log'!$E$4:$E$501,'Partial Payment Log'!$C$4:$C$501,A90))</f>
        <v/>
      </c>
      <c r="Q90" s="10" t="str">
        <f>IF(A90="","",K90-P90)</f>
        <v/>
      </c>
      <c r="R90" s="6" t="str">
        <f>IF(A90="","",IF(Q90&lt;=0,IF(Q90&lt;0,"Overpaid","Paid"),IF(P90&gt;0,"Part Paid","Unpaid")))</f>
        <v/>
      </c>
    </row>
    <row r="91" spans="1:18" ht="15">
      <c r="A91" s="5"/>
      <c r="B91" s="5"/>
      <c r="C91" s="8"/>
      <c r="D91" s="9"/>
      <c r="E91" s="10"/>
      <c r="F91" s="10" t="str">
        <f t="shared" si="6"/>
        <v/>
      </c>
      <c r="G91" s="9"/>
      <c r="H91" s="10" t="str">
        <f t="shared" si="7"/>
        <v/>
      </c>
      <c r="I91" s="10" t="str">
        <f t="shared" si="8"/>
        <v/>
      </c>
      <c r="J91" s="10" t="str">
        <f t="shared" si="9"/>
        <v/>
      </c>
      <c r="K91" s="10" t="str">
        <f t="shared" si="10"/>
        <v/>
      </c>
      <c r="L91" s="6"/>
      <c r="M91" s="8" t="str">
        <f>IF(OR(C91="",L91=""),"",C91+L91)</f>
        <v/>
      </c>
      <c r="N91" s="11" t="str">
        <f t="shared" ca="1" si="11"/>
        <v/>
      </c>
      <c r="O91" s="7" t="str">
        <f>IF(L91="","",L91&amp;" Day Due")</f>
        <v/>
      </c>
      <c r="P91" s="10" t="str">
        <f>IF(A91="","",SUMIFS('Partial Payment Log'!$E$4:$E$501,'Partial Payment Log'!$C$4:$C$501,A91))</f>
        <v/>
      </c>
      <c r="Q91" s="10" t="str">
        <f>IF(A91="","",K91-P91)</f>
        <v/>
      </c>
      <c r="R91" s="6" t="str">
        <f>IF(A91="","",IF(Q91&lt;=0,IF(Q91&lt;0,"Overpaid","Paid"),IF(P91&gt;0,"Part Paid","Unpaid")))</f>
        <v/>
      </c>
    </row>
    <row r="92" spans="1:18" ht="15">
      <c r="A92" s="5"/>
      <c r="B92" s="5"/>
      <c r="C92" s="8"/>
      <c r="D92" s="9"/>
      <c r="E92" s="10"/>
      <c r="F92" s="10" t="str">
        <f t="shared" si="6"/>
        <v/>
      </c>
      <c r="G92" s="9"/>
      <c r="H92" s="10" t="str">
        <f t="shared" si="7"/>
        <v/>
      </c>
      <c r="I92" s="10" t="str">
        <f t="shared" si="8"/>
        <v/>
      </c>
      <c r="J92" s="10" t="str">
        <f t="shared" si="9"/>
        <v/>
      </c>
      <c r="K92" s="10" t="str">
        <f t="shared" si="10"/>
        <v/>
      </c>
      <c r="L92" s="6"/>
      <c r="M92" s="8" t="str">
        <f>IF(OR(C92="",L92=""),"",C92+L92)</f>
        <v/>
      </c>
      <c r="N92" s="11" t="str">
        <f t="shared" ca="1" si="11"/>
        <v/>
      </c>
      <c r="O92" s="7" t="str">
        <f>IF(L92="","",L92&amp;" Day Due")</f>
        <v/>
      </c>
      <c r="P92" s="10" t="str">
        <f>IF(A92="","",SUMIFS('Partial Payment Log'!$E$4:$E$501,'Partial Payment Log'!$C$4:$C$501,A92))</f>
        <v/>
      </c>
      <c r="Q92" s="10" t="str">
        <f>IF(A92="","",K92-P92)</f>
        <v/>
      </c>
      <c r="R92" s="6" t="str">
        <f>IF(A92="","",IF(Q92&lt;=0,IF(Q92&lt;0,"Overpaid","Paid"),IF(P92&gt;0,"Part Paid","Unpaid")))</f>
        <v/>
      </c>
    </row>
    <row r="93" spans="1:18" ht="15">
      <c r="A93" s="5"/>
      <c r="B93" s="5"/>
      <c r="C93" s="8"/>
      <c r="D93" s="9"/>
      <c r="E93" s="10"/>
      <c r="F93" s="10" t="str">
        <f t="shared" si="6"/>
        <v/>
      </c>
      <c r="G93" s="9"/>
      <c r="H93" s="10" t="str">
        <f t="shared" si="7"/>
        <v/>
      </c>
      <c r="I93" s="10" t="str">
        <f t="shared" si="8"/>
        <v/>
      </c>
      <c r="J93" s="10" t="str">
        <f t="shared" si="9"/>
        <v/>
      </c>
      <c r="K93" s="10" t="str">
        <f t="shared" si="10"/>
        <v/>
      </c>
      <c r="L93" s="6"/>
      <c r="M93" s="8" t="str">
        <f>IF(OR(C93="",L93=""),"",C93+L93)</f>
        <v/>
      </c>
      <c r="N93" s="11" t="str">
        <f t="shared" ca="1" si="11"/>
        <v/>
      </c>
      <c r="O93" s="7" t="str">
        <f>IF(L93="","",L93&amp;" Day Due")</f>
        <v/>
      </c>
      <c r="P93" s="10" t="str">
        <f>IF(A93="","",SUMIFS('Partial Payment Log'!$E$4:$E$501,'Partial Payment Log'!$C$4:$C$501,A93))</f>
        <v/>
      </c>
      <c r="Q93" s="10" t="str">
        <f>IF(A93="","",K93-P93)</f>
        <v/>
      </c>
      <c r="R93" s="6" t="str">
        <f>IF(A93="","",IF(Q93&lt;=0,IF(Q93&lt;0,"Overpaid","Paid"),IF(P93&gt;0,"Part Paid","Unpaid")))</f>
        <v/>
      </c>
    </row>
    <row r="94" spans="1:18" ht="15">
      <c r="A94" s="5"/>
      <c r="B94" s="5"/>
      <c r="C94" s="8"/>
      <c r="D94" s="9"/>
      <c r="E94" s="10"/>
      <c r="F94" s="10" t="str">
        <f t="shared" si="6"/>
        <v/>
      </c>
      <c r="G94" s="9"/>
      <c r="H94" s="10" t="str">
        <f t="shared" si="7"/>
        <v/>
      </c>
      <c r="I94" s="10" t="str">
        <f t="shared" si="8"/>
        <v/>
      </c>
      <c r="J94" s="10" t="str">
        <f t="shared" si="9"/>
        <v/>
      </c>
      <c r="K94" s="10" t="str">
        <f t="shared" si="10"/>
        <v/>
      </c>
      <c r="L94" s="6"/>
      <c r="M94" s="8" t="str">
        <f>IF(OR(C94="",L94=""),"",C94+L94)</f>
        <v/>
      </c>
      <c r="N94" s="11" t="str">
        <f t="shared" ca="1" si="11"/>
        <v/>
      </c>
      <c r="O94" s="7" t="str">
        <f>IF(L94="","",L94&amp;" Day Due")</f>
        <v/>
      </c>
      <c r="P94" s="10" t="str">
        <f>IF(A94="","",SUMIFS('Partial Payment Log'!$E$4:$E$501,'Partial Payment Log'!$C$4:$C$501,A94))</f>
        <v/>
      </c>
      <c r="Q94" s="10" t="str">
        <f>IF(A94="","",K94-P94)</f>
        <v/>
      </c>
      <c r="R94" s="6" t="str">
        <f>IF(A94="","",IF(Q94&lt;=0,IF(Q94&lt;0,"Overpaid","Paid"),IF(P94&gt;0,"Part Paid","Unpaid")))</f>
        <v/>
      </c>
    </row>
    <row r="95" spans="1:18" ht="15">
      <c r="A95" s="5"/>
      <c r="B95" s="5"/>
      <c r="C95" s="8"/>
      <c r="D95" s="9"/>
      <c r="E95" s="10"/>
      <c r="F95" s="10" t="str">
        <f t="shared" si="6"/>
        <v/>
      </c>
      <c r="G95" s="9"/>
      <c r="H95" s="10" t="str">
        <f t="shared" si="7"/>
        <v/>
      </c>
      <c r="I95" s="10" t="str">
        <f t="shared" si="8"/>
        <v/>
      </c>
      <c r="J95" s="10" t="str">
        <f t="shared" si="9"/>
        <v/>
      </c>
      <c r="K95" s="10" t="str">
        <f t="shared" si="10"/>
        <v/>
      </c>
      <c r="L95" s="6"/>
      <c r="M95" s="8" t="str">
        <f>IF(OR(C95="",L95=""),"",C95+L95)</f>
        <v/>
      </c>
      <c r="N95" s="11" t="str">
        <f t="shared" ca="1" si="11"/>
        <v/>
      </c>
      <c r="O95" s="7" t="str">
        <f>IF(L95="","",L95&amp;" Day Due")</f>
        <v/>
      </c>
      <c r="P95" s="10" t="str">
        <f>IF(A95="","",SUMIFS('Partial Payment Log'!$E$4:$E$501,'Partial Payment Log'!$C$4:$C$501,A95))</f>
        <v/>
      </c>
      <c r="Q95" s="10" t="str">
        <f>IF(A95="","",K95-P95)</f>
        <v/>
      </c>
      <c r="R95" s="6" t="str">
        <f>IF(A95="","",IF(Q95&lt;=0,IF(Q95&lt;0,"Overpaid","Paid"),IF(P95&gt;0,"Part Paid","Unpaid")))</f>
        <v/>
      </c>
    </row>
    <row r="96" spans="1:18" ht="15">
      <c r="A96" s="5"/>
      <c r="B96" s="5"/>
      <c r="C96" s="8"/>
      <c r="D96" s="9"/>
      <c r="E96" s="10"/>
      <c r="F96" s="10" t="str">
        <f t="shared" si="6"/>
        <v/>
      </c>
      <c r="G96" s="9"/>
      <c r="H96" s="10" t="str">
        <f t="shared" si="7"/>
        <v/>
      </c>
      <c r="I96" s="10" t="str">
        <f t="shared" si="8"/>
        <v/>
      </c>
      <c r="J96" s="10" t="str">
        <f t="shared" si="9"/>
        <v/>
      </c>
      <c r="K96" s="10" t="str">
        <f t="shared" si="10"/>
        <v/>
      </c>
      <c r="L96" s="6"/>
      <c r="M96" s="8" t="str">
        <f>IF(OR(C96="",L96=""),"",C96+L96)</f>
        <v/>
      </c>
      <c r="N96" s="11" t="str">
        <f t="shared" ca="1" si="11"/>
        <v/>
      </c>
      <c r="O96" s="7" t="str">
        <f>IF(L96="","",L96&amp;" Day Due")</f>
        <v/>
      </c>
      <c r="P96" s="10" t="str">
        <f>IF(A96="","",SUMIFS('Partial Payment Log'!$E$4:$E$501,'Partial Payment Log'!$C$4:$C$501,A96))</f>
        <v/>
      </c>
      <c r="Q96" s="10" t="str">
        <f>IF(A96="","",K96-P96)</f>
        <v/>
      </c>
      <c r="R96" s="6" t="str">
        <f>IF(A96="","",IF(Q96&lt;=0,IF(Q96&lt;0,"Overpaid","Paid"),IF(P96&gt;0,"Part Paid","Unpaid")))</f>
        <v/>
      </c>
    </row>
    <row r="97" spans="1:18" ht="15">
      <c r="A97" s="5"/>
      <c r="B97" s="5"/>
      <c r="C97" s="8"/>
      <c r="D97" s="9"/>
      <c r="E97" s="10"/>
      <c r="F97" s="10" t="str">
        <f t="shared" si="6"/>
        <v/>
      </c>
      <c r="G97" s="9"/>
      <c r="H97" s="10" t="str">
        <f t="shared" si="7"/>
        <v/>
      </c>
      <c r="I97" s="10" t="str">
        <f t="shared" si="8"/>
        <v/>
      </c>
      <c r="J97" s="10" t="str">
        <f t="shared" si="9"/>
        <v/>
      </c>
      <c r="K97" s="10" t="str">
        <f t="shared" si="10"/>
        <v/>
      </c>
      <c r="L97" s="6"/>
      <c r="M97" s="8" t="str">
        <f>IF(OR(C97="",L97=""),"",C97+L97)</f>
        <v/>
      </c>
      <c r="N97" s="11" t="str">
        <f t="shared" ca="1" si="11"/>
        <v/>
      </c>
      <c r="O97" s="7" t="str">
        <f>IF(L97="","",L97&amp;" Day Due")</f>
        <v/>
      </c>
      <c r="P97" s="10" t="str">
        <f>IF(A97="","",SUMIFS('Partial Payment Log'!$E$4:$E$501,'Partial Payment Log'!$C$4:$C$501,A97))</f>
        <v/>
      </c>
      <c r="Q97" s="10" t="str">
        <f>IF(A97="","",K97-P97)</f>
        <v/>
      </c>
      <c r="R97" s="6" t="str">
        <f>IF(A97="","",IF(Q97&lt;=0,IF(Q97&lt;0,"Overpaid","Paid"),IF(P97&gt;0,"Part Paid","Unpaid")))</f>
        <v/>
      </c>
    </row>
    <row r="98" spans="1:18" ht="15">
      <c r="A98" s="5"/>
      <c r="B98" s="5"/>
      <c r="C98" s="8"/>
      <c r="D98" s="9"/>
      <c r="E98" s="10"/>
      <c r="F98" s="10" t="str">
        <f t="shared" si="6"/>
        <v/>
      </c>
      <c r="G98" s="9"/>
      <c r="H98" s="10" t="str">
        <f t="shared" si="7"/>
        <v/>
      </c>
      <c r="I98" s="10" t="str">
        <f t="shared" si="8"/>
        <v/>
      </c>
      <c r="J98" s="10" t="str">
        <f t="shared" si="9"/>
        <v/>
      </c>
      <c r="K98" s="10" t="str">
        <f t="shared" si="10"/>
        <v/>
      </c>
      <c r="L98" s="6"/>
      <c r="M98" s="8" t="str">
        <f>IF(OR(C98="",L98=""),"",C98+L98)</f>
        <v/>
      </c>
      <c r="N98" s="11" t="str">
        <f t="shared" ca="1" si="11"/>
        <v/>
      </c>
      <c r="O98" s="7" t="str">
        <f>IF(L98="","",L98&amp;" Day Due")</f>
        <v/>
      </c>
      <c r="P98" s="10" t="str">
        <f>IF(A98="","",SUMIFS('Partial Payment Log'!$E$4:$E$501,'Partial Payment Log'!$C$4:$C$501,A98))</f>
        <v/>
      </c>
      <c r="Q98" s="10" t="str">
        <f>IF(A98="","",K98-P98)</f>
        <v/>
      </c>
      <c r="R98" s="6" t="str">
        <f>IF(A98="","",IF(Q98&lt;=0,IF(Q98&lt;0,"Overpaid","Paid"),IF(P98&gt;0,"Part Paid","Unpaid")))</f>
        <v/>
      </c>
    </row>
    <row r="99" spans="1:18" ht="15">
      <c r="A99" s="5"/>
      <c r="B99" s="5"/>
      <c r="C99" s="8"/>
      <c r="D99" s="9"/>
      <c r="E99" s="10"/>
      <c r="F99" s="10" t="str">
        <f t="shared" si="6"/>
        <v/>
      </c>
      <c r="G99" s="9"/>
      <c r="H99" s="10" t="str">
        <f t="shared" si="7"/>
        <v/>
      </c>
      <c r="I99" s="10" t="str">
        <f t="shared" si="8"/>
        <v/>
      </c>
      <c r="J99" s="10" t="str">
        <f t="shared" si="9"/>
        <v/>
      </c>
      <c r="K99" s="10" t="str">
        <f t="shared" si="10"/>
        <v/>
      </c>
      <c r="L99" s="6"/>
      <c r="M99" s="8" t="str">
        <f>IF(OR(C99="",L99=""),"",C99+L99)</f>
        <v/>
      </c>
      <c r="N99" s="11" t="str">
        <f t="shared" ca="1" si="11"/>
        <v/>
      </c>
      <c r="O99" s="7" t="str">
        <f>IF(L99="","",L99&amp;" Day Due")</f>
        <v/>
      </c>
      <c r="P99" s="10" t="str">
        <f>IF(A99="","",SUMIFS('Partial Payment Log'!$E$4:$E$501,'Partial Payment Log'!$C$4:$C$501,A99))</f>
        <v/>
      </c>
      <c r="Q99" s="10" t="str">
        <f>IF(A99="","",K99-P99)</f>
        <v/>
      </c>
      <c r="R99" s="6" t="str">
        <f>IF(A99="","",IF(Q99&lt;=0,IF(Q99&lt;0,"Overpaid","Paid"),IF(P99&gt;0,"Part Paid","Unpaid")))</f>
        <v/>
      </c>
    </row>
    <row r="100" spans="1:18" ht="15">
      <c r="A100" s="5"/>
      <c r="B100" s="5"/>
      <c r="C100" s="8"/>
      <c r="D100" s="9"/>
      <c r="E100" s="10"/>
      <c r="F100" s="10" t="str">
        <f t="shared" si="6"/>
        <v/>
      </c>
      <c r="G100" s="9"/>
      <c r="H100" s="10" t="str">
        <f t="shared" si="7"/>
        <v/>
      </c>
      <c r="I100" s="10" t="str">
        <f t="shared" si="8"/>
        <v/>
      </c>
      <c r="J100" s="10" t="str">
        <f t="shared" si="9"/>
        <v/>
      </c>
      <c r="K100" s="10" t="str">
        <f t="shared" si="10"/>
        <v/>
      </c>
      <c r="L100" s="6"/>
      <c r="M100" s="8" t="str">
        <f>IF(OR(C100="",L100=""),"",C100+L100)</f>
        <v/>
      </c>
      <c r="N100" s="11" t="str">
        <f t="shared" ca="1" si="11"/>
        <v/>
      </c>
      <c r="O100" s="7" t="str">
        <f>IF(L100="","",L100&amp;" Day Due")</f>
        <v/>
      </c>
      <c r="P100" s="10" t="str">
        <f>IF(A100="","",SUMIFS('Partial Payment Log'!$E$4:$E$501,'Partial Payment Log'!$C$4:$C$501,A100))</f>
        <v/>
      </c>
      <c r="Q100" s="10" t="str">
        <f>IF(A100="","",K100-P100)</f>
        <v/>
      </c>
      <c r="R100" s="6" t="str">
        <f>IF(A100="","",IF(Q100&lt;=0,IF(Q100&lt;0,"Overpaid","Paid"),IF(P100&gt;0,"Part Paid","Unpaid")))</f>
        <v/>
      </c>
    </row>
    <row r="101" spans="1:18" ht="15">
      <c r="A101" s="5"/>
      <c r="B101" s="5"/>
      <c r="C101" s="8"/>
      <c r="D101" s="9"/>
      <c r="E101" s="10"/>
      <c r="F101" s="10" t="str">
        <f t="shared" si="6"/>
        <v/>
      </c>
      <c r="G101" s="9"/>
      <c r="H101" s="10" t="str">
        <f t="shared" si="7"/>
        <v/>
      </c>
      <c r="I101" s="10" t="str">
        <f t="shared" si="8"/>
        <v/>
      </c>
      <c r="J101" s="10" t="str">
        <f t="shared" si="9"/>
        <v/>
      </c>
      <c r="K101" s="10" t="str">
        <f t="shared" si="10"/>
        <v/>
      </c>
      <c r="L101" s="6"/>
      <c r="M101" s="8" t="str">
        <f>IF(OR(C101="",L101=""),"",C101+L101)</f>
        <v/>
      </c>
      <c r="N101" s="11" t="str">
        <f t="shared" ca="1" si="11"/>
        <v/>
      </c>
      <c r="O101" s="7" t="str">
        <f>IF(L101="","",L101&amp;" Day Due")</f>
        <v/>
      </c>
      <c r="P101" s="10" t="str">
        <f>IF(A101="","",SUMIFS('Partial Payment Log'!$E$4:$E$501,'Partial Payment Log'!$C$4:$C$501,A101))</f>
        <v/>
      </c>
      <c r="Q101" s="10" t="str">
        <f>IF(A101="","",K101-P101)</f>
        <v/>
      </c>
      <c r="R101" s="6" t="str">
        <f>IF(A101="","",IF(Q101&lt;=0,IF(Q101&lt;0,"Overpaid","Paid"),IF(P101&gt;0,"Part Paid","Unpaid")))</f>
        <v/>
      </c>
    </row>
    <row r="102" spans="1:18" ht="15">
      <c r="A102" s="5"/>
      <c r="B102" s="5"/>
      <c r="C102" s="8"/>
      <c r="D102" s="9"/>
      <c r="E102" s="10"/>
      <c r="F102" s="10" t="str">
        <f t="shared" si="6"/>
        <v/>
      </c>
      <c r="G102" s="9"/>
      <c r="H102" s="10" t="str">
        <f t="shared" si="7"/>
        <v/>
      </c>
      <c r="I102" s="10" t="str">
        <f t="shared" si="8"/>
        <v/>
      </c>
      <c r="J102" s="10" t="str">
        <f t="shared" si="9"/>
        <v/>
      </c>
      <c r="K102" s="10" t="str">
        <f t="shared" si="10"/>
        <v/>
      </c>
      <c r="L102" s="6"/>
      <c r="M102" s="8" t="str">
        <f>IF(OR(C102="",L102=""),"",C102+L102)</f>
        <v/>
      </c>
      <c r="N102" s="11" t="str">
        <f t="shared" ca="1" si="11"/>
        <v/>
      </c>
      <c r="O102" s="7" t="str">
        <f>IF(L102="","",L102&amp;" Day Due")</f>
        <v/>
      </c>
      <c r="P102" s="10" t="str">
        <f>IF(A102="","",SUMIFS('Partial Payment Log'!$E$4:$E$501,'Partial Payment Log'!$C$4:$C$501,A102))</f>
        <v/>
      </c>
      <c r="Q102" s="10" t="str">
        <f>IF(A102="","",K102-P102)</f>
        <v/>
      </c>
      <c r="R102" s="6" t="str">
        <f>IF(A102="","",IF(Q102&lt;=0,IF(Q102&lt;0,"Overpaid","Paid"),IF(P102&gt;0,"Part Paid","Unpaid")))</f>
        <v/>
      </c>
    </row>
    <row r="103" spans="1:18" ht="15">
      <c r="A103" s="5"/>
      <c r="B103" s="5"/>
      <c r="C103" s="8"/>
      <c r="D103" s="9"/>
      <c r="E103" s="10"/>
      <c r="F103" s="10" t="str">
        <f t="shared" si="6"/>
        <v/>
      </c>
      <c r="G103" s="9"/>
      <c r="H103" s="10" t="str">
        <f t="shared" si="7"/>
        <v/>
      </c>
      <c r="I103" s="10" t="str">
        <f t="shared" si="8"/>
        <v/>
      </c>
      <c r="J103" s="10" t="str">
        <f t="shared" si="9"/>
        <v/>
      </c>
      <c r="K103" s="10" t="str">
        <f t="shared" si="10"/>
        <v/>
      </c>
      <c r="L103" s="6"/>
      <c r="M103" s="8" t="str">
        <f>IF(OR(C103="",L103=""),"",C103+L103)</f>
        <v/>
      </c>
      <c r="N103" s="11" t="str">
        <f t="shared" ca="1" si="11"/>
        <v/>
      </c>
      <c r="O103" s="7" t="str">
        <f>IF(L103="","",L103&amp;" Day Due")</f>
        <v/>
      </c>
      <c r="P103" s="10" t="str">
        <f>IF(A103="","",SUMIFS('Partial Payment Log'!$E$4:$E$501,'Partial Payment Log'!$C$4:$C$501,A103))</f>
        <v/>
      </c>
      <c r="Q103" s="10" t="str">
        <f>IF(A103="","",K103-P103)</f>
        <v/>
      </c>
      <c r="R103" s="6" t="str">
        <f>IF(A103="","",IF(Q103&lt;=0,IF(Q103&lt;0,"Overpaid","Paid"),IF(P103&gt;0,"Part Paid","Unpaid")))</f>
        <v/>
      </c>
    </row>
    <row r="104" spans="1:18" ht="15">
      <c r="A104" s="5"/>
      <c r="B104" s="5"/>
      <c r="C104" s="8"/>
      <c r="D104" s="9"/>
      <c r="E104" s="10"/>
      <c r="F104" s="10" t="str">
        <f t="shared" si="6"/>
        <v/>
      </c>
      <c r="G104" s="9"/>
      <c r="H104" s="10" t="str">
        <f t="shared" si="7"/>
        <v/>
      </c>
      <c r="I104" s="10" t="str">
        <f t="shared" si="8"/>
        <v/>
      </c>
      <c r="J104" s="10" t="str">
        <f t="shared" si="9"/>
        <v/>
      </c>
      <c r="K104" s="10" t="str">
        <f t="shared" si="10"/>
        <v/>
      </c>
      <c r="L104" s="6"/>
      <c r="M104" s="8" t="str">
        <f>IF(OR(C104="",L104=""),"",C104+L104)</f>
        <v/>
      </c>
      <c r="N104" s="11" t="str">
        <f t="shared" ca="1" si="11"/>
        <v/>
      </c>
      <c r="O104" s="7" t="str">
        <f>IF(L104="","",L104&amp;" Day Due")</f>
        <v/>
      </c>
      <c r="P104" s="10" t="str">
        <f>IF(A104="","",SUMIFS('Partial Payment Log'!$E$4:$E$501,'Partial Payment Log'!$C$4:$C$501,A104))</f>
        <v/>
      </c>
      <c r="Q104" s="10" t="str">
        <f>IF(A104="","",K104-P104)</f>
        <v/>
      </c>
      <c r="R104" s="6" t="str">
        <f>IF(A104="","",IF(Q104&lt;=0,IF(Q104&lt;0,"Overpaid","Paid"),IF(P104&gt;0,"Part Paid","Unpaid")))</f>
        <v/>
      </c>
    </row>
    <row r="105" spans="1:18" ht="15">
      <c r="A105" s="5"/>
      <c r="B105" s="5"/>
      <c r="C105" s="8"/>
      <c r="D105" s="9"/>
      <c r="E105" s="10"/>
      <c r="F105" s="10" t="str">
        <f t="shared" si="6"/>
        <v/>
      </c>
      <c r="G105" s="9"/>
      <c r="H105" s="10" t="str">
        <f t="shared" si="7"/>
        <v/>
      </c>
      <c r="I105" s="10" t="str">
        <f t="shared" si="8"/>
        <v/>
      </c>
      <c r="J105" s="10" t="str">
        <f t="shared" si="9"/>
        <v/>
      </c>
      <c r="K105" s="10" t="str">
        <f t="shared" si="10"/>
        <v/>
      </c>
      <c r="L105" s="6"/>
      <c r="M105" s="8" t="str">
        <f>IF(OR(C105="",L105=""),"",C105+L105)</f>
        <v/>
      </c>
      <c r="N105" s="11" t="str">
        <f t="shared" ca="1" si="11"/>
        <v/>
      </c>
      <c r="O105" s="7" t="str">
        <f>IF(L105="","",L105&amp;" Day Due")</f>
        <v/>
      </c>
      <c r="P105" s="10" t="str">
        <f>IF(A105="","",SUMIFS('Partial Payment Log'!$E$4:$E$501,'Partial Payment Log'!$C$4:$C$501,A105))</f>
        <v/>
      </c>
      <c r="Q105" s="10" t="str">
        <f>IF(A105="","",K105-P105)</f>
        <v/>
      </c>
      <c r="R105" s="6" t="str">
        <f>IF(A105="","",IF(Q105&lt;=0,IF(Q105&lt;0,"Overpaid","Paid"),IF(P105&gt;0,"Part Paid","Unpaid")))</f>
        <v/>
      </c>
    </row>
    <row r="106" spans="1:18" ht="15">
      <c r="A106" s="5"/>
      <c r="B106" s="5"/>
      <c r="C106" s="8"/>
      <c r="D106" s="9"/>
      <c r="E106" s="10"/>
      <c r="F106" s="10" t="str">
        <f t="shared" si="6"/>
        <v/>
      </c>
      <c r="G106" s="9"/>
      <c r="H106" s="10" t="str">
        <f t="shared" si="7"/>
        <v/>
      </c>
      <c r="I106" s="10" t="str">
        <f t="shared" si="8"/>
        <v/>
      </c>
      <c r="J106" s="10" t="str">
        <f t="shared" si="9"/>
        <v/>
      </c>
      <c r="K106" s="10" t="str">
        <f t="shared" si="10"/>
        <v/>
      </c>
      <c r="L106" s="6"/>
      <c r="M106" s="8" t="str">
        <f>IF(OR(C106="",L106=""),"",C106+L106)</f>
        <v/>
      </c>
      <c r="N106" s="11" t="str">
        <f t="shared" ca="1" si="11"/>
        <v/>
      </c>
      <c r="O106" s="7" t="str">
        <f>IF(L106="","",L106&amp;" Day Due")</f>
        <v/>
      </c>
      <c r="P106" s="10" t="str">
        <f>IF(A106="","",SUMIFS('Partial Payment Log'!$E$4:$E$501,'Partial Payment Log'!$C$4:$C$501,A106))</f>
        <v/>
      </c>
      <c r="Q106" s="10" t="str">
        <f>IF(A106="","",K106-P106)</f>
        <v/>
      </c>
      <c r="R106" s="6" t="str">
        <f>IF(A106="","",IF(Q106&lt;=0,IF(Q106&lt;0,"Overpaid","Paid"),IF(P106&gt;0,"Part Paid","Unpaid")))</f>
        <v/>
      </c>
    </row>
    <row r="107" spans="1:18" ht="15">
      <c r="A107" s="5"/>
      <c r="B107" s="5"/>
      <c r="C107" s="8"/>
      <c r="D107" s="9"/>
      <c r="E107" s="10"/>
      <c r="F107" s="10" t="str">
        <f t="shared" si="6"/>
        <v/>
      </c>
      <c r="G107" s="9"/>
      <c r="H107" s="10" t="str">
        <f t="shared" si="7"/>
        <v/>
      </c>
      <c r="I107" s="10" t="str">
        <f t="shared" si="8"/>
        <v/>
      </c>
      <c r="J107" s="10" t="str">
        <f t="shared" si="9"/>
        <v/>
      </c>
      <c r="K107" s="10" t="str">
        <f t="shared" si="10"/>
        <v/>
      </c>
      <c r="L107" s="6"/>
      <c r="M107" s="8" t="str">
        <f>IF(OR(C107="",L107=""),"",C107+L107)</f>
        <v/>
      </c>
      <c r="N107" s="11" t="str">
        <f t="shared" ca="1" si="11"/>
        <v/>
      </c>
      <c r="O107" s="7" t="str">
        <f>IF(L107="","",L107&amp;" Day Due")</f>
        <v/>
      </c>
      <c r="P107" s="10" t="str">
        <f>IF(A107="","",SUMIFS('Partial Payment Log'!$E$4:$E$501,'Partial Payment Log'!$C$4:$C$501,A107))</f>
        <v/>
      </c>
      <c r="Q107" s="10" t="str">
        <f>IF(A107="","",K107-P107)</f>
        <v/>
      </c>
      <c r="R107" s="6" t="str">
        <f>IF(A107="","",IF(Q107&lt;=0,IF(Q107&lt;0,"Overpaid","Paid"),IF(P107&gt;0,"Part Paid","Unpaid")))</f>
        <v/>
      </c>
    </row>
    <row r="108" spans="1:18" ht="15">
      <c r="A108" s="5"/>
      <c r="B108" s="5"/>
      <c r="C108" s="8"/>
      <c r="D108" s="9"/>
      <c r="E108" s="10"/>
      <c r="F108" s="10" t="str">
        <f t="shared" si="6"/>
        <v/>
      </c>
      <c r="G108" s="9"/>
      <c r="H108" s="10" t="str">
        <f t="shared" si="7"/>
        <v/>
      </c>
      <c r="I108" s="10" t="str">
        <f t="shared" si="8"/>
        <v/>
      </c>
      <c r="J108" s="10" t="str">
        <f t="shared" si="9"/>
        <v/>
      </c>
      <c r="K108" s="10" t="str">
        <f t="shared" si="10"/>
        <v/>
      </c>
      <c r="L108" s="6"/>
      <c r="M108" s="8" t="str">
        <f>IF(OR(C108="",L108=""),"",C108+L108)</f>
        <v/>
      </c>
      <c r="N108" s="11" t="str">
        <f t="shared" ca="1" si="11"/>
        <v/>
      </c>
      <c r="O108" s="7" t="str">
        <f>IF(L108="","",L108&amp;" Day Due")</f>
        <v/>
      </c>
      <c r="P108" s="10" t="str">
        <f>IF(A108="","",SUMIFS('Partial Payment Log'!$E$4:$E$501,'Partial Payment Log'!$C$4:$C$501,A108))</f>
        <v/>
      </c>
      <c r="Q108" s="10" t="str">
        <f>IF(A108="","",K108-P108)</f>
        <v/>
      </c>
      <c r="R108" s="6" t="str">
        <f>IF(A108="","",IF(Q108&lt;=0,IF(Q108&lt;0,"Overpaid","Paid"),IF(P108&gt;0,"Part Paid","Unpaid")))</f>
        <v/>
      </c>
    </row>
    <row r="109" spans="1:18" ht="15">
      <c r="A109" s="5"/>
      <c r="B109" s="5"/>
      <c r="C109" s="8"/>
      <c r="D109" s="9"/>
      <c r="E109" s="10"/>
      <c r="F109" s="10" t="str">
        <f t="shared" si="6"/>
        <v/>
      </c>
      <c r="G109" s="9"/>
      <c r="H109" s="10" t="str">
        <f t="shared" si="7"/>
        <v/>
      </c>
      <c r="I109" s="10" t="str">
        <f t="shared" si="8"/>
        <v/>
      </c>
      <c r="J109" s="10" t="str">
        <f t="shared" si="9"/>
        <v/>
      </c>
      <c r="K109" s="10" t="str">
        <f t="shared" si="10"/>
        <v/>
      </c>
      <c r="L109" s="6"/>
      <c r="M109" s="8" t="str">
        <f>IF(OR(C109="",L109=""),"",C109+L109)</f>
        <v/>
      </c>
      <c r="N109" s="11" t="str">
        <f t="shared" ca="1" si="11"/>
        <v/>
      </c>
      <c r="O109" s="7" t="str">
        <f>IF(L109="","",L109&amp;" Day Due")</f>
        <v/>
      </c>
      <c r="P109" s="10" t="str">
        <f>IF(A109="","",SUMIFS('Partial Payment Log'!$E$4:$E$501,'Partial Payment Log'!$C$4:$C$501,A109))</f>
        <v/>
      </c>
      <c r="Q109" s="10" t="str">
        <f>IF(A109="","",K109-P109)</f>
        <v/>
      </c>
      <c r="R109" s="6" t="str">
        <f>IF(A109="","",IF(Q109&lt;=0,IF(Q109&lt;0,"Overpaid","Paid"),IF(P109&gt;0,"Part Paid","Unpaid")))</f>
        <v/>
      </c>
    </row>
    <row r="110" spans="1:18" ht="15">
      <c r="A110" s="5"/>
      <c r="B110" s="5"/>
      <c r="C110" s="8"/>
      <c r="D110" s="9"/>
      <c r="E110" s="10"/>
      <c r="F110" s="10" t="str">
        <f t="shared" si="6"/>
        <v/>
      </c>
      <c r="G110" s="9"/>
      <c r="H110" s="10" t="str">
        <f t="shared" si="7"/>
        <v/>
      </c>
      <c r="I110" s="10" t="str">
        <f t="shared" si="8"/>
        <v/>
      </c>
      <c r="J110" s="10" t="str">
        <f t="shared" si="9"/>
        <v/>
      </c>
      <c r="K110" s="10" t="str">
        <f t="shared" si="10"/>
        <v/>
      </c>
      <c r="L110" s="6"/>
      <c r="M110" s="8" t="str">
        <f>IF(OR(C110="",L110=""),"",C110+L110)</f>
        <v/>
      </c>
      <c r="N110" s="11" t="str">
        <f t="shared" ca="1" si="11"/>
        <v/>
      </c>
      <c r="O110" s="7" t="str">
        <f>IF(L110="","",L110&amp;" Day Due")</f>
        <v/>
      </c>
      <c r="P110" s="10" t="str">
        <f>IF(A110="","",SUMIFS('Partial Payment Log'!$E$4:$E$501,'Partial Payment Log'!$C$4:$C$501,A110))</f>
        <v/>
      </c>
      <c r="Q110" s="10" t="str">
        <f>IF(A110="","",K110-P110)</f>
        <v/>
      </c>
      <c r="R110" s="6" t="str">
        <f>IF(A110="","",IF(Q110&lt;=0,IF(Q110&lt;0,"Overpaid","Paid"),IF(P110&gt;0,"Part Paid","Unpaid")))</f>
        <v/>
      </c>
    </row>
    <row r="111" spans="1:18" ht="15">
      <c r="A111" s="5"/>
      <c r="B111" s="5"/>
      <c r="C111" s="8"/>
      <c r="D111" s="9"/>
      <c r="E111" s="10"/>
      <c r="F111" s="10" t="str">
        <f t="shared" si="6"/>
        <v/>
      </c>
      <c r="G111" s="9"/>
      <c r="H111" s="10" t="str">
        <f t="shared" si="7"/>
        <v/>
      </c>
      <c r="I111" s="10" t="str">
        <f t="shared" si="8"/>
        <v/>
      </c>
      <c r="J111" s="10" t="str">
        <f t="shared" si="9"/>
        <v/>
      </c>
      <c r="K111" s="10" t="str">
        <f t="shared" si="10"/>
        <v/>
      </c>
      <c r="L111" s="6"/>
      <c r="M111" s="8" t="str">
        <f>IF(OR(C111="",L111=""),"",C111+L111)</f>
        <v/>
      </c>
      <c r="N111" s="11" t="str">
        <f t="shared" ca="1" si="11"/>
        <v/>
      </c>
      <c r="O111" s="7" t="str">
        <f>IF(L111="","",L111&amp;" Day Due")</f>
        <v/>
      </c>
      <c r="P111" s="10" t="str">
        <f>IF(A111="","",SUMIFS('Partial Payment Log'!$E$4:$E$501,'Partial Payment Log'!$C$4:$C$501,A111))</f>
        <v/>
      </c>
      <c r="Q111" s="10" t="str">
        <f>IF(A111="","",K111-P111)</f>
        <v/>
      </c>
      <c r="R111" s="6" t="str">
        <f>IF(A111="","",IF(Q111&lt;=0,IF(Q111&lt;0,"Overpaid","Paid"),IF(P111&gt;0,"Part Paid","Unpaid")))</f>
        <v/>
      </c>
    </row>
    <row r="112" spans="1:18" ht="15">
      <c r="A112" s="5"/>
      <c r="B112" s="5"/>
      <c r="C112" s="8"/>
      <c r="D112" s="9"/>
      <c r="E112" s="10"/>
      <c r="F112" s="10" t="str">
        <f t="shared" si="6"/>
        <v/>
      </c>
      <c r="G112" s="9"/>
      <c r="H112" s="10" t="str">
        <f t="shared" si="7"/>
        <v/>
      </c>
      <c r="I112" s="10" t="str">
        <f t="shared" si="8"/>
        <v/>
      </c>
      <c r="J112" s="10" t="str">
        <f t="shared" si="9"/>
        <v/>
      </c>
      <c r="K112" s="10" t="str">
        <f t="shared" si="10"/>
        <v/>
      </c>
      <c r="L112" s="6"/>
      <c r="M112" s="8" t="str">
        <f>IF(OR(C112="",L112=""),"",C112+L112)</f>
        <v/>
      </c>
      <c r="N112" s="11" t="str">
        <f t="shared" ca="1" si="11"/>
        <v/>
      </c>
      <c r="O112" s="7" t="str">
        <f>IF(L112="","",L112&amp;" Day Due")</f>
        <v/>
      </c>
      <c r="P112" s="10" t="str">
        <f>IF(A112="","",SUMIFS('Partial Payment Log'!$E$4:$E$501,'Partial Payment Log'!$C$4:$C$501,A112))</f>
        <v/>
      </c>
      <c r="Q112" s="10" t="str">
        <f>IF(A112="","",K112-P112)</f>
        <v/>
      </c>
      <c r="R112" s="6" t="str">
        <f>IF(A112="","",IF(Q112&lt;=0,IF(Q112&lt;0,"Overpaid","Paid"),IF(P112&gt;0,"Part Paid","Unpaid")))</f>
        <v/>
      </c>
    </row>
    <row r="113" spans="1:18" ht="15">
      <c r="A113" s="5"/>
      <c r="B113" s="5"/>
      <c r="C113" s="8"/>
      <c r="D113" s="9"/>
      <c r="E113" s="10"/>
      <c r="F113" s="10" t="str">
        <f t="shared" si="6"/>
        <v/>
      </c>
      <c r="G113" s="9"/>
      <c r="H113" s="10" t="str">
        <f t="shared" si="7"/>
        <v/>
      </c>
      <c r="I113" s="10" t="str">
        <f t="shared" si="8"/>
        <v/>
      </c>
      <c r="J113" s="10" t="str">
        <f t="shared" si="9"/>
        <v/>
      </c>
      <c r="K113" s="10" t="str">
        <f t="shared" si="10"/>
        <v/>
      </c>
      <c r="L113" s="6"/>
      <c r="M113" s="8" t="str">
        <f>IF(OR(C113="",L113=""),"",C113+L113)</f>
        <v/>
      </c>
      <c r="N113" s="11" t="str">
        <f t="shared" ca="1" si="11"/>
        <v/>
      </c>
      <c r="O113" s="7" t="str">
        <f>IF(L113="","",L113&amp;" Day Due")</f>
        <v/>
      </c>
      <c r="P113" s="10" t="str">
        <f>IF(A113="","",SUMIFS('Partial Payment Log'!$E$4:$E$501,'Partial Payment Log'!$C$4:$C$501,A113))</f>
        <v/>
      </c>
      <c r="Q113" s="10" t="str">
        <f>IF(A113="","",K113-P113)</f>
        <v/>
      </c>
      <c r="R113" s="6" t="str">
        <f>IF(A113="","",IF(Q113&lt;=0,IF(Q113&lt;0,"Overpaid","Paid"),IF(P113&gt;0,"Part Paid","Unpaid")))</f>
        <v/>
      </c>
    </row>
    <row r="114" spans="1:18" ht="15">
      <c r="A114" s="5"/>
      <c r="B114" s="5"/>
      <c r="C114" s="8"/>
      <c r="D114" s="9"/>
      <c r="E114" s="10"/>
      <c r="F114" s="10" t="str">
        <f t="shared" si="6"/>
        <v/>
      </c>
      <c r="G114" s="9"/>
      <c r="H114" s="10" t="str">
        <f t="shared" si="7"/>
        <v/>
      </c>
      <c r="I114" s="10" t="str">
        <f t="shared" si="8"/>
        <v/>
      </c>
      <c r="J114" s="10" t="str">
        <f t="shared" si="9"/>
        <v/>
      </c>
      <c r="K114" s="10" t="str">
        <f t="shared" si="10"/>
        <v/>
      </c>
      <c r="L114" s="6"/>
      <c r="M114" s="8" t="str">
        <f>IF(OR(C114="",L114=""),"",C114+L114)</f>
        <v/>
      </c>
      <c r="N114" s="11" t="str">
        <f t="shared" ca="1" si="11"/>
        <v/>
      </c>
      <c r="O114" s="7" t="str">
        <f>IF(L114="","",L114&amp;" Day Due")</f>
        <v/>
      </c>
      <c r="P114" s="10" t="str">
        <f>IF(A114="","",SUMIFS('Partial Payment Log'!$E$4:$E$501,'Partial Payment Log'!$C$4:$C$501,A114))</f>
        <v/>
      </c>
      <c r="Q114" s="10" t="str">
        <f>IF(A114="","",K114-P114)</f>
        <v/>
      </c>
      <c r="R114" s="6" t="str">
        <f>IF(A114="","",IF(Q114&lt;=0,IF(Q114&lt;0,"Overpaid","Paid"),IF(P114&gt;0,"Part Paid","Unpaid")))</f>
        <v/>
      </c>
    </row>
    <row r="115" spans="1:18" ht="15">
      <c r="A115" s="5"/>
      <c r="B115" s="5"/>
      <c r="C115" s="8"/>
      <c r="D115" s="9"/>
      <c r="E115" s="10"/>
      <c r="F115" s="10" t="str">
        <f t="shared" si="6"/>
        <v/>
      </c>
      <c r="G115" s="9"/>
      <c r="H115" s="10" t="str">
        <f t="shared" si="7"/>
        <v/>
      </c>
      <c r="I115" s="10" t="str">
        <f t="shared" si="8"/>
        <v/>
      </c>
      <c r="J115" s="10" t="str">
        <f t="shared" si="9"/>
        <v/>
      </c>
      <c r="K115" s="10" t="str">
        <f t="shared" si="10"/>
        <v/>
      </c>
      <c r="L115" s="6"/>
      <c r="M115" s="8" t="str">
        <f>IF(OR(C115="",L115=""),"",C115+L115)</f>
        <v/>
      </c>
      <c r="N115" s="11" t="str">
        <f t="shared" ca="1" si="11"/>
        <v/>
      </c>
      <c r="O115" s="7" t="str">
        <f>IF(L115="","",L115&amp;" Day Due")</f>
        <v/>
      </c>
      <c r="P115" s="10" t="str">
        <f>IF(A115="","",SUMIFS('Partial Payment Log'!$E$4:$E$501,'Partial Payment Log'!$C$4:$C$501,A115))</f>
        <v/>
      </c>
      <c r="Q115" s="10" t="str">
        <f>IF(A115="","",K115-P115)</f>
        <v/>
      </c>
      <c r="R115" s="6" t="str">
        <f>IF(A115="","",IF(Q115&lt;=0,IF(Q115&lt;0,"Overpaid","Paid"),IF(P115&gt;0,"Part Paid","Unpaid")))</f>
        <v/>
      </c>
    </row>
    <row r="116" spans="1:18" ht="15">
      <c r="A116" s="5"/>
      <c r="B116" s="5"/>
      <c r="C116" s="8"/>
      <c r="D116" s="9"/>
      <c r="E116" s="10"/>
      <c r="F116" s="10" t="str">
        <f t="shared" si="6"/>
        <v/>
      </c>
      <c r="G116" s="9"/>
      <c r="H116" s="10" t="str">
        <f t="shared" si="7"/>
        <v/>
      </c>
      <c r="I116" s="10" t="str">
        <f t="shared" si="8"/>
        <v/>
      </c>
      <c r="J116" s="10" t="str">
        <f t="shared" si="9"/>
        <v/>
      </c>
      <c r="K116" s="10" t="str">
        <f t="shared" si="10"/>
        <v/>
      </c>
      <c r="L116" s="6"/>
      <c r="M116" s="8" t="str">
        <f>IF(OR(C116="",L116=""),"",C116+L116)</f>
        <v/>
      </c>
      <c r="N116" s="11" t="str">
        <f t="shared" ca="1" si="11"/>
        <v/>
      </c>
      <c r="O116" s="7" t="str">
        <f>IF(L116="","",L116&amp;" Day Due")</f>
        <v/>
      </c>
      <c r="P116" s="10" t="str">
        <f>IF(A116="","",SUMIFS('Partial Payment Log'!$E$4:$E$501,'Partial Payment Log'!$C$4:$C$501,A116))</f>
        <v/>
      </c>
      <c r="Q116" s="10" t="str">
        <f>IF(A116="","",K116-P116)</f>
        <v/>
      </c>
      <c r="R116" s="6" t="str">
        <f>IF(A116="","",IF(Q116&lt;=0,IF(Q116&lt;0,"Overpaid","Paid"),IF(P116&gt;0,"Part Paid","Unpaid")))</f>
        <v/>
      </c>
    </row>
    <row r="117" spans="1:18" ht="15">
      <c r="A117" s="5"/>
      <c r="B117" s="5"/>
      <c r="C117" s="8"/>
      <c r="D117" s="9"/>
      <c r="E117" s="10"/>
      <c r="F117" s="10" t="str">
        <f t="shared" si="6"/>
        <v/>
      </c>
      <c r="G117" s="9"/>
      <c r="H117" s="10" t="str">
        <f t="shared" si="7"/>
        <v/>
      </c>
      <c r="I117" s="10" t="str">
        <f t="shared" si="8"/>
        <v/>
      </c>
      <c r="J117" s="10" t="str">
        <f t="shared" si="9"/>
        <v/>
      </c>
      <c r="K117" s="10" t="str">
        <f t="shared" si="10"/>
        <v/>
      </c>
      <c r="L117" s="6"/>
      <c r="M117" s="8" t="str">
        <f>IF(OR(C117="",L117=""),"",C117+L117)</f>
        <v/>
      </c>
      <c r="N117" s="11" t="str">
        <f t="shared" ca="1" si="11"/>
        <v/>
      </c>
      <c r="O117" s="7" t="str">
        <f>IF(L117="","",L117&amp;" Day Due")</f>
        <v/>
      </c>
      <c r="P117" s="10" t="str">
        <f>IF(A117="","",SUMIFS('Partial Payment Log'!$E$4:$E$501,'Partial Payment Log'!$C$4:$C$501,A117))</f>
        <v/>
      </c>
      <c r="Q117" s="10" t="str">
        <f>IF(A117="","",K117-P117)</f>
        <v/>
      </c>
      <c r="R117" s="6" t="str">
        <f>IF(A117="","",IF(Q117&lt;=0,IF(Q117&lt;0,"Overpaid","Paid"),IF(P117&gt;0,"Part Paid","Unpaid")))</f>
        <v/>
      </c>
    </row>
    <row r="118" spans="1:18" ht="15">
      <c r="A118" s="5"/>
      <c r="B118" s="5"/>
      <c r="C118" s="8"/>
      <c r="D118" s="9"/>
      <c r="E118" s="10"/>
      <c r="F118" s="10" t="str">
        <f t="shared" si="6"/>
        <v/>
      </c>
      <c r="G118" s="9"/>
      <c r="H118" s="10" t="str">
        <f t="shared" si="7"/>
        <v/>
      </c>
      <c r="I118" s="10" t="str">
        <f t="shared" si="8"/>
        <v/>
      </c>
      <c r="J118" s="10" t="str">
        <f t="shared" si="9"/>
        <v/>
      </c>
      <c r="K118" s="10" t="str">
        <f t="shared" si="10"/>
        <v/>
      </c>
      <c r="L118" s="6"/>
      <c r="M118" s="8" t="str">
        <f>IF(OR(C118="",L118=""),"",C118+L118)</f>
        <v/>
      </c>
      <c r="N118" s="11" t="str">
        <f t="shared" ca="1" si="11"/>
        <v/>
      </c>
      <c r="O118" s="7" t="str">
        <f>IF(L118="","",L118&amp;" Day Due")</f>
        <v/>
      </c>
      <c r="P118" s="10" t="str">
        <f>IF(A118="","",SUMIFS('Partial Payment Log'!$E$4:$E$501,'Partial Payment Log'!$C$4:$C$501,A118))</f>
        <v/>
      </c>
      <c r="Q118" s="10" t="str">
        <f>IF(A118="","",K118-P118)</f>
        <v/>
      </c>
      <c r="R118" s="6" t="str">
        <f>IF(A118="","",IF(Q118&lt;=0,IF(Q118&lt;0,"Overpaid","Paid"),IF(P118&gt;0,"Part Paid","Unpaid")))</f>
        <v/>
      </c>
    </row>
    <row r="119" spans="1:18" ht="15">
      <c r="A119" s="5"/>
      <c r="B119" s="5"/>
      <c r="C119" s="8"/>
      <c r="D119" s="9"/>
      <c r="E119" s="10"/>
      <c r="F119" s="10" t="str">
        <f t="shared" si="6"/>
        <v/>
      </c>
      <c r="G119" s="9"/>
      <c r="H119" s="10" t="str">
        <f t="shared" si="7"/>
        <v/>
      </c>
      <c r="I119" s="10" t="str">
        <f t="shared" si="8"/>
        <v/>
      </c>
      <c r="J119" s="10" t="str">
        <f t="shared" si="9"/>
        <v/>
      </c>
      <c r="K119" s="10" t="str">
        <f t="shared" si="10"/>
        <v/>
      </c>
      <c r="L119" s="6"/>
      <c r="M119" s="8" t="str">
        <f>IF(OR(C119="",L119=""),"",C119+L119)</f>
        <v/>
      </c>
      <c r="N119" s="11" t="str">
        <f t="shared" ca="1" si="11"/>
        <v/>
      </c>
      <c r="O119" s="7" t="str">
        <f>IF(L119="","",L119&amp;" Day Due")</f>
        <v/>
      </c>
      <c r="P119" s="10" t="str">
        <f>IF(A119="","",SUMIFS('Partial Payment Log'!$E$4:$E$501,'Partial Payment Log'!$C$4:$C$501,A119))</f>
        <v/>
      </c>
      <c r="Q119" s="10" t="str">
        <f>IF(A119="","",K119-P119)</f>
        <v/>
      </c>
      <c r="R119" s="6" t="str">
        <f>IF(A119="","",IF(Q119&lt;=0,IF(Q119&lt;0,"Overpaid","Paid"),IF(P119&gt;0,"Part Paid","Unpaid")))</f>
        <v/>
      </c>
    </row>
    <row r="120" spans="1:18" ht="15">
      <c r="A120" s="5"/>
      <c r="B120" s="5"/>
      <c r="C120" s="8"/>
      <c r="D120" s="9"/>
      <c r="E120" s="10"/>
      <c r="F120" s="10" t="str">
        <f t="shared" si="6"/>
        <v/>
      </c>
      <c r="G120" s="9"/>
      <c r="H120" s="10" t="str">
        <f t="shared" si="7"/>
        <v/>
      </c>
      <c r="I120" s="10" t="str">
        <f t="shared" si="8"/>
        <v/>
      </c>
      <c r="J120" s="10" t="str">
        <f t="shared" si="9"/>
        <v/>
      </c>
      <c r="K120" s="10" t="str">
        <f t="shared" si="10"/>
        <v/>
      </c>
      <c r="L120" s="6"/>
      <c r="M120" s="8" t="str">
        <f>IF(OR(C120="",L120=""),"",C120+L120)</f>
        <v/>
      </c>
      <c r="N120" s="11" t="str">
        <f t="shared" ca="1" si="11"/>
        <v/>
      </c>
      <c r="O120" s="7" t="str">
        <f>IF(L120="","",L120&amp;" Day Due")</f>
        <v/>
      </c>
      <c r="P120" s="10" t="str">
        <f>IF(A120="","",SUMIFS('Partial Payment Log'!$E$4:$E$501,'Partial Payment Log'!$C$4:$C$501,A120))</f>
        <v/>
      </c>
      <c r="Q120" s="10" t="str">
        <f>IF(A120="","",K120-P120)</f>
        <v/>
      </c>
      <c r="R120" s="6" t="str">
        <f>IF(A120="","",IF(Q120&lt;=0,IF(Q120&lt;0,"Overpaid","Paid"),IF(P120&gt;0,"Part Paid","Unpaid")))</f>
        <v/>
      </c>
    </row>
    <row r="121" spans="1:18" ht="15">
      <c r="A121" s="5"/>
      <c r="B121" s="5"/>
      <c r="C121" s="8"/>
      <c r="D121" s="9"/>
      <c r="E121" s="10"/>
      <c r="F121" s="10" t="str">
        <f t="shared" si="6"/>
        <v/>
      </c>
      <c r="G121" s="9"/>
      <c r="H121" s="10" t="str">
        <f t="shared" si="7"/>
        <v/>
      </c>
      <c r="I121" s="10" t="str">
        <f t="shared" si="8"/>
        <v/>
      </c>
      <c r="J121" s="10" t="str">
        <f t="shared" si="9"/>
        <v/>
      </c>
      <c r="K121" s="10" t="str">
        <f t="shared" si="10"/>
        <v/>
      </c>
      <c r="L121" s="6"/>
      <c r="M121" s="8" t="str">
        <f>IF(OR(C121="",L121=""),"",C121+L121)</f>
        <v/>
      </c>
      <c r="N121" s="11" t="str">
        <f t="shared" ca="1" si="11"/>
        <v/>
      </c>
      <c r="O121" s="7" t="str">
        <f>IF(L121="","",L121&amp;" Day Due")</f>
        <v/>
      </c>
      <c r="P121" s="10" t="str">
        <f>IF(A121="","",SUMIFS('Partial Payment Log'!$E$4:$E$501,'Partial Payment Log'!$C$4:$C$501,A121))</f>
        <v/>
      </c>
      <c r="Q121" s="10" t="str">
        <f>IF(A121="","",K121-P121)</f>
        <v/>
      </c>
      <c r="R121" s="6" t="str">
        <f>IF(A121="","",IF(Q121&lt;=0,IF(Q121&lt;0,"Overpaid","Paid"),IF(P121&gt;0,"Part Paid","Unpaid")))</f>
        <v/>
      </c>
    </row>
    <row r="122" spans="1:18" ht="15">
      <c r="A122" s="5"/>
      <c r="B122" s="5"/>
      <c r="C122" s="8"/>
      <c r="D122" s="9"/>
      <c r="E122" s="10"/>
      <c r="F122" s="10" t="str">
        <f t="shared" si="6"/>
        <v/>
      </c>
      <c r="G122" s="9"/>
      <c r="H122" s="10" t="str">
        <f t="shared" si="7"/>
        <v/>
      </c>
      <c r="I122" s="10" t="str">
        <f t="shared" si="8"/>
        <v/>
      </c>
      <c r="J122" s="10" t="str">
        <f t="shared" si="9"/>
        <v/>
      </c>
      <c r="K122" s="10" t="str">
        <f t="shared" si="10"/>
        <v/>
      </c>
      <c r="L122" s="6"/>
      <c r="M122" s="8" t="str">
        <f>IF(OR(C122="",L122=""),"",C122+L122)</f>
        <v/>
      </c>
      <c r="N122" s="11" t="str">
        <f t="shared" ca="1" si="11"/>
        <v/>
      </c>
      <c r="O122" s="7" t="str">
        <f>IF(L122="","",L122&amp;" Day Due")</f>
        <v/>
      </c>
      <c r="P122" s="10" t="str">
        <f>IF(A122="","",SUMIFS('Partial Payment Log'!$E$4:$E$501,'Partial Payment Log'!$C$4:$C$501,A122))</f>
        <v/>
      </c>
      <c r="Q122" s="10" t="str">
        <f>IF(A122="","",K122-P122)</f>
        <v/>
      </c>
      <c r="R122" s="6" t="str">
        <f>IF(A122="","",IF(Q122&lt;=0,IF(Q122&lt;0,"Overpaid","Paid"),IF(P122&gt;0,"Part Paid","Unpaid")))</f>
        <v/>
      </c>
    </row>
    <row r="123" spans="1:18" ht="15">
      <c r="A123" s="5"/>
      <c r="B123" s="5"/>
      <c r="C123" s="8"/>
      <c r="D123" s="9"/>
      <c r="E123" s="10"/>
      <c r="F123" s="10" t="str">
        <f t="shared" si="6"/>
        <v/>
      </c>
      <c r="G123" s="9"/>
      <c r="H123" s="10" t="str">
        <f t="shared" si="7"/>
        <v/>
      </c>
      <c r="I123" s="10" t="str">
        <f t="shared" si="8"/>
        <v/>
      </c>
      <c r="J123" s="10" t="str">
        <f t="shared" si="9"/>
        <v/>
      </c>
      <c r="K123" s="10" t="str">
        <f t="shared" si="10"/>
        <v/>
      </c>
      <c r="L123" s="6"/>
      <c r="M123" s="8" t="str">
        <f>IF(OR(C123="",L123=""),"",C123+L123)</f>
        <v/>
      </c>
      <c r="N123" s="11" t="str">
        <f t="shared" ca="1" si="11"/>
        <v/>
      </c>
      <c r="O123" s="7" t="str">
        <f>IF(L123="","",L123&amp;" Day Due")</f>
        <v/>
      </c>
      <c r="P123" s="10" t="str">
        <f>IF(A123="","",SUMIFS('Partial Payment Log'!$E$4:$E$501,'Partial Payment Log'!$C$4:$C$501,A123))</f>
        <v/>
      </c>
      <c r="Q123" s="10" t="str">
        <f>IF(A123="","",K123-P123)</f>
        <v/>
      </c>
      <c r="R123" s="6" t="str">
        <f>IF(A123="","",IF(Q123&lt;=0,IF(Q123&lt;0,"Overpaid","Paid"),IF(P123&gt;0,"Part Paid","Unpaid")))</f>
        <v/>
      </c>
    </row>
    <row r="124" spans="1:18" ht="15">
      <c r="A124" s="5"/>
      <c r="B124" s="5"/>
      <c r="C124" s="8"/>
      <c r="D124" s="9"/>
      <c r="E124" s="10"/>
      <c r="F124" s="10" t="str">
        <f t="shared" si="6"/>
        <v/>
      </c>
      <c r="G124" s="9"/>
      <c r="H124" s="10" t="str">
        <f t="shared" si="7"/>
        <v/>
      </c>
      <c r="I124" s="10" t="str">
        <f t="shared" si="8"/>
        <v/>
      </c>
      <c r="J124" s="10" t="str">
        <f t="shared" si="9"/>
        <v/>
      </c>
      <c r="K124" s="10" t="str">
        <f t="shared" si="10"/>
        <v/>
      </c>
      <c r="L124" s="6"/>
      <c r="M124" s="8" t="str">
        <f>IF(OR(C124="",L124=""),"",C124+L124)</f>
        <v/>
      </c>
      <c r="N124" s="11" t="str">
        <f t="shared" ca="1" si="11"/>
        <v/>
      </c>
      <c r="O124" s="7" t="str">
        <f>IF(L124="","",L124&amp;" Day Due")</f>
        <v/>
      </c>
      <c r="P124" s="10" t="str">
        <f>IF(A124="","",SUMIFS('Partial Payment Log'!$E$4:$E$501,'Partial Payment Log'!$C$4:$C$501,A124))</f>
        <v/>
      </c>
      <c r="Q124" s="10" t="str">
        <f>IF(A124="","",K124-P124)</f>
        <v/>
      </c>
      <c r="R124" s="6" t="str">
        <f>IF(A124="","",IF(Q124&lt;=0,IF(Q124&lt;0,"Overpaid","Paid"),IF(P124&gt;0,"Part Paid","Unpaid")))</f>
        <v/>
      </c>
    </row>
    <row r="125" spans="1:18" ht="15">
      <c r="A125" s="5"/>
      <c r="B125" s="5"/>
      <c r="C125" s="8"/>
      <c r="D125" s="9"/>
      <c r="E125" s="10"/>
      <c r="F125" s="10" t="str">
        <f t="shared" si="6"/>
        <v/>
      </c>
      <c r="G125" s="9"/>
      <c r="H125" s="10" t="str">
        <f t="shared" si="7"/>
        <v/>
      </c>
      <c r="I125" s="10" t="str">
        <f t="shared" si="8"/>
        <v/>
      </c>
      <c r="J125" s="10" t="str">
        <f t="shared" si="9"/>
        <v/>
      </c>
      <c r="K125" s="10" t="str">
        <f t="shared" si="10"/>
        <v/>
      </c>
      <c r="L125" s="6"/>
      <c r="M125" s="8" t="str">
        <f>IF(OR(C125="",L125=""),"",C125+L125)</f>
        <v/>
      </c>
      <c r="N125" s="11" t="str">
        <f t="shared" ca="1" si="11"/>
        <v/>
      </c>
      <c r="O125" s="7" t="str">
        <f>IF(L125="","",L125&amp;" Day Due")</f>
        <v/>
      </c>
      <c r="P125" s="10" t="str">
        <f>IF(A125="","",SUMIFS('Partial Payment Log'!$E$4:$E$501,'Partial Payment Log'!$C$4:$C$501,A125))</f>
        <v/>
      </c>
      <c r="Q125" s="10" t="str">
        <f>IF(A125="","",K125-P125)</f>
        <v/>
      </c>
      <c r="R125" s="6" t="str">
        <f>IF(A125="","",IF(Q125&lt;=0,IF(Q125&lt;0,"Overpaid","Paid"),IF(P125&gt;0,"Part Paid","Unpaid")))</f>
        <v/>
      </c>
    </row>
    <row r="126" spans="1:18" ht="15">
      <c r="A126" s="5"/>
      <c r="B126" s="5"/>
      <c r="C126" s="8"/>
      <c r="D126" s="9"/>
      <c r="E126" s="10"/>
      <c r="F126" s="10" t="str">
        <f t="shared" si="6"/>
        <v/>
      </c>
      <c r="G126" s="9"/>
      <c r="H126" s="10" t="str">
        <f t="shared" si="7"/>
        <v/>
      </c>
      <c r="I126" s="10" t="str">
        <f t="shared" si="8"/>
        <v/>
      </c>
      <c r="J126" s="10" t="str">
        <f t="shared" si="9"/>
        <v/>
      </c>
      <c r="K126" s="10" t="str">
        <f t="shared" si="10"/>
        <v/>
      </c>
      <c r="L126" s="6"/>
      <c r="M126" s="8" t="str">
        <f>IF(OR(C126="",L126=""),"",C126+L126)</f>
        <v/>
      </c>
      <c r="N126" s="11" t="str">
        <f t="shared" ca="1" si="11"/>
        <v/>
      </c>
      <c r="O126" s="7" t="str">
        <f>IF(L126="","",L126&amp;" Day Due")</f>
        <v/>
      </c>
      <c r="P126" s="10" t="str">
        <f>IF(A126="","",SUMIFS('Partial Payment Log'!$E$4:$E$501,'Partial Payment Log'!$C$4:$C$501,A126))</f>
        <v/>
      </c>
      <c r="Q126" s="10" t="str">
        <f>IF(A126="","",K126-P126)</f>
        <v/>
      </c>
      <c r="R126" s="6" t="str">
        <f>IF(A126="","",IF(Q126&lt;=0,IF(Q126&lt;0,"Overpaid","Paid"),IF(P126&gt;0,"Part Paid","Unpaid")))</f>
        <v/>
      </c>
    </row>
    <row r="127" spans="1:18" ht="15">
      <c r="A127" s="5"/>
      <c r="B127" s="5"/>
      <c r="C127" s="8"/>
      <c r="D127" s="9"/>
      <c r="E127" s="10"/>
      <c r="F127" s="10" t="str">
        <f t="shared" si="6"/>
        <v/>
      </c>
      <c r="G127" s="9"/>
      <c r="H127" s="10" t="str">
        <f t="shared" si="7"/>
        <v/>
      </c>
      <c r="I127" s="10" t="str">
        <f t="shared" si="8"/>
        <v/>
      </c>
      <c r="J127" s="10" t="str">
        <f t="shared" si="9"/>
        <v/>
      </c>
      <c r="K127" s="10" t="str">
        <f t="shared" si="10"/>
        <v/>
      </c>
      <c r="L127" s="6"/>
      <c r="M127" s="8" t="str">
        <f>IF(OR(C127="",L127=""),"",C127+L127)</f>
        <v/>
      </c>
      <c r="N127" s="11" t="str">
        <f t="shared" ca="1" si="11"/>
        <v/>
      </c>
      <c r="O127" s="7" t="str">
        <f>IF(L127="","",L127&amp;" Day Due")</f>
        <v/>
      </c>
      <c r="P127" s="10" t="str">
        <f>IF(A127="","",SUMIFS('Partial Payment Log'!$E$4:$E$501,'Partial Payment Log'!$C$4:$C$501,A127))</f>
        <v/>
      </c>
      <c r="Q127" s="10" t="str">
        <f>IF(A127="","",K127-P127)</f>
        <v/>
      </c>
      <c r="R127" s="6" t="str">
        <f>IF(A127="","",IF(Q127&lt;=0,IF(Q127&lt;0,"Overpaid","Paid"),IF(P127&gt;0,"Part Paid","Unpaid")))</f>
        <v/>
      </c>
    </row>
    <row r="128" spans="1:18" ht="15">
      <c r="A128" s="5"/>
      <c r="B128" s="5"/>
      <c r="C128" s="8"/>
      <c r="D128" s="9"/>
      <c r="E128" s="10"/>
      <c r="F128" s="10" t="str">
        <f t="shared" si="6"/>
        <v/>
      </c>
      <c r="G128" s="9"/>
      <c r="H128" s="10" t="str">
        <f t="shared" si="7"/>
        <v/>
      </c>
      <c r="I128" s="10" t="str">
        <f t="shared" si="8"/>
        <v/>
      </c>
      <c r="J128" s="10" t="str">
        <f t="shared" si="9"/>
        <v/>
      </c>
      <c r="K128" s="10" t="str">
        <f t="shared" si="10"/>
        <v/>
      </c>
      <c r="L128" s="6"/>
      <c r="M128" s="8" t="str">
        <f>IF(OR(C128="",L128=""),"",C128+L128)</f>
        <v/>
      </c>
      <c r="N128" s="11" t="str">
        <f t="shared" ca="1" si="11"/>
        <v/>
      </c>
      <c r="O128" s="7" t="str">
        <f>IF(L128="","",L128&amp;" Day Due")</f>
        <v/>
      </c>
      <c r="P128" s="10" t="str">
        <f>IF(A128="","",SUMIFS('Partial Payment Log'!$E$4:$E$501,'Partial Payment Log'!$C$4:$C$501,A128))</f>
        <v/>
      </c>
      <c r="Q128" s="10" t="str">
        <f>IF(A128="","",K128-P128)</f>
        <v/>
      </c>
      <c r="R128" s="6" t="str">
        <f>IF(A128="","",IF(Q128&lt;=0,IF(Q128&lt;0,"Overpaid","Paid"),IF(P128&gt;0,"Part Paid","Unpaid")))</f>
        <v/>
      </c>
    </row>
    <row r="129" spans="1:18" ht="15">
      <c r="A129" s="5"/>
      <c r="B129" s="5"/>
      <c r="C129" s="8"/>
      <c r="D129" s="9"/>
      <c r="E129" s="10"/>
      <c r="F129" s="10" t="str">
        <f t="shared" ref="F129:F192" si="12">IF(OR(D129="",E129=""),"",D129*E129)</f>
        <v/>
      </c>
      <c r="G129" s="9"/>
      <c r="H129" s="10" t="str">
        <f t="shared" ref="H129:H192" si="13">IF(A129="","",N(G129)*E129)</f>
        <v/>
      </c>
      <c r="I129" s="10" t="str">
        <f t="shared" ref="I129:I192" si="14">IF(F129="","",(F129-H129)*1.5%)</f>
        <v/>
      </c>
      <c r="J129" s="10" t="str">
        <f t="shared" ref="J129:J192" si="15">IF(F129="","",(F129-H129)+I129)</f>
        <v/>
      </c>
      <c r="K129" s="10" t="str">
        <f t="shared" ref="K129:K192" si="16">IF(F129="","",J129)</f>
        <v/>
      </c>
      <c r="L129" s="6"/>
      <c r="M129" s="8" t="str">
        <f>IF(OR(C129="",L129=""),"",C129+L129)</f>
        <v/>
      </c>
      <c r="N129" s="11" t="str">
        <f t="shared" ref="N129:N192" ca="1" si="17">IF(M129="","",M129-TODAY())</f>
        <v/>
      </c>
      <c r="O129" s="7" t="str">
        <f>IF(L129="","",L129&amp;" Day Due")</f>
        <v/>
      </c>
      <c r="P129" s="10" t="str">
        <f>IF(A129="","",SUMIFS('Partial Payment Log'!$E$4:$E$501,'Partial Payment Log'!$C$4:$C$501,A129))</f>
        <v/>
      </c>
      <c r="Q129" s="10" t="str">
        <f>IF(A129="","",K129-P129)</f>
        <v/>
      </c>
      <c r="R129" s="6" t="str">
        <f>IF(A129="","",IF(Q129&lt;=0,IF(Q129&lt;0,"Overpaid","Paid"),IF(P129&gt;0,"Part Paid","Unpaid")))</f>
        <v/>
      </c>
    </row>
    <row r="130" spans="1:18" ht="15">
      <c r="A130" s="5"/>
      <c r="B130" s="5"/>
      <c r="C130" s="8"/>
      <c r="D130" s="9"/>
      <c r="E130" s="10"/>
      <c r="F130" s="10" t="str">
        <f t="shared" si="12"/>
        <v/>
      </c>
      <c r="G130" s="9"/>
      <c r="H130" s="10" t="str">
        <f t="shared" si="13"/>
        <v/>
      </c>
      <c r="I130" s="10" t="str">
        <f t="shared" si="14"/>
        <v/>
      </c>
      <c r="J130" s="10" t="str">
        <f t="shared" si="15"/>
        <v/>
      </c>
      <c r="K130" s="10" t="str">
        <f t="shared" si="16"/>
        <v/>
      </c>
      <c r="L130" s="6"/>
      <c r="M130" s="8" t="str">
        <f>IF(OR(C130="",L130=""),"",C130+L130)</f>
        <v/>
      </c>
      <c r="N130" s="11" t="str">
        <f t="shared" ca="1" si="17"/>
        <v/>
      </c>
      <c r="O130" s="7" t="str">
        <f>IF(L130="","",L130&amp;" Day Due")</f>
        <v/>
      </c>
      <c r="P130" s="10" t="str">
        <f>IF(A130="","",SUMIFS('Partial Payment Log'!$E$4:$E$501,'Partial Payment Log'!$C$4:$C$501,A130))</f>
        <v/>
      </c>
      <c r="Q130" s="10" t="str">
        <f>IF(A130="","",K130-P130)</f>
        <v/>
      </c>
      <c r="R130" s="6" t="str">
        <f>IF(A130="","",IF(Q130&lt;=0,IF(Q130&lt;0,"Overpaid","Paid"),IF(P130&gt;0,"Part Paid","Unpaid")))</f>
        <v/>
      </c>
    </row>
    <row r="131" spans="1:18" ht="15">
      <c r="A131" s="5"/>
      <c r="B131" s="5"/>
      <c r="C131" s="8"/>
      <c r="D131" s="9"/>
      <c r="E131" s="10"/>
      <c r="F131" s="10" t="str">
        <f t="shared" si="12"/>
        <v/>
      </c>
      <c r="G131" s="9"/>
      <c r="H131" s="10" t="str">
        <f t="shared" si="13"/>
        <v/>
      </c>
      <c r="I131" s="10" t="str">
        <f t="shared" si="14"/>
        <v/>
      </c>
      <c r="J131" s="10" t="str">
        <f t="shared" si="15"/>
        <v/>
      </c>
      <c r="K131" s="10" t="str">
        <f t="shared" si="16"/>
        <v/>
      </c>
      <c r="L131" s="6"/>
      <c r="M131" s="8" t="str">
        <f>IF(OR(C131="",L131=""),"",C131+L131)</f>
        <v/>
      </c>
      <c r="N131" s="11" t="str">
        <f t="shared" ca="1" si="17"/>
        <v/>
      </c>
      <c r="O131" s="7" t="str">
        <f>IF(L131="","",L131&amp;" Day Due")</f>
        <v/>
      </c>
      <c r="P131" s="10" t="str">
        <f>IF(A131="","",SUMIFS('Partial Payment Log'!$E$4:$E$501,'Partial Payment Log'!$C$4:$C$501,A131))</f>
        <v/>
      </c>
      <c r="Q131" s="10" t="str">
        <f>IF(A131="","",K131-P131)</f>
        <v/>
      </c>
      <c r="R131" s="6" t="str">
        <f>IF(A131="","",IF(Q131&lt;=0,IF(Q131&lt;0,"Overpaid","Paid"),IF(P131&gt;0,"Part Paid","Unpaid")))</f>
        <v/>
      </c>
    </row>
    <row r="132" spans="1:18" ht="15">
      <c r="A132" s="5"/>
      <c r="B132" s="5"/>
      <c r="C132" s="8"/>
      <c r="D132" s="9"/>
      <c r="E132" s="10"/>
      <c r="F132" s="10" t="str">
        <f t="shared" si="12"/>
        <v/>
      </c>
      <c r="G132" s="9"/>
      <c r="H132" s="10" t="str">
        <f t="shared" si="13"/>
        <v/>
      </c>
      <c r="I132" s="10" t="str">
        <f t="shared" si="14"/>
        <v/>
      </c>
      <c r="J132" s="10" t="str">
        <f t="shared" si="15"/>
        <v/>
      </c>
      <c r="K132" s="10" t="str">
        <f t="shared" si="16"/>
        <v/>
      </c>
      <c r="L132" s="6"/>
      <c r="M132" s="8" t="str">
        <f>IF(OR(C132="",L132=""),"",C132+L132)</f>
        <v/>
      </c>
      <c r="N132" s="11" t="str">
        <f t="shared" ca="1" si="17"/>
        <v/>
      </c>
      <c r="O132" s="7" t="str">
        <f>IF(L132="","",L132&amp;" Day Due")</f>
        <v/>
      </c>
      <c r="P132" s="10" t="str">
        <f>IF(A132="","",SUMIFS('Partial Payment Log'!$E$4:$E$501,'Partial Payment Log'!$C$4:$C$501,A132))</f>
        <v/>
      </c>
      <c r="Q132" s="10" t="str">
        <f>IF(A132="","",K132-P132)</f>
        <v/>
      </c>
      <c r="R132" s="6" t="str">
        <f>IF(A132="","",IF(Q132&lt;=0,IF(Q132&lt;0,"Overpaid","Paid"),IF(P132&gt;0,"Part Paid","Unpaid")))</f>
        <v/>
      </c>
    </row>
    <row r="133" spans="1:18" ht="15">
      <c r="A133" s="5"/>
      <c r="B133" s="5"/>
      <c r="C133" s="8"/>
      <c r="D133" s="9"/>
      <c r="E133" s="10"/>
      <c r="F133" s="10" t="str">
        <f t="shared" si="12"/>
        <v/>
      </c>
      <c r="G133" s="9"/>
      <c r="H133" s="10" t="str">
        <f t="shared" si="13"/>
        <v/>
      </c>
      <c r="I133" s="10" t="str">
        <f t="shared" si="14"/>
        <v/>
      </c>
      <c r="J133" s="10" t="str">
        <f t="shared" si="15"/>
        <v/>
      </c>
      <c r="K133" s="10" t="str">
        <f t="shared" si="16"/>
        <v/>
      </c>
      <c r="L133" s="6"/>
      <c r="M133" s="8" t="str">
        <f>IF(OR(C133="",L133=""),"",C133+L133)</f>
        <v/>
      </c>
      <c r="N133" s="11" t="str">
        <f t="shared" ca="1" si="17"/>
        <v/>
      </c>
      <c r="O133" s="7" t="str">
        <f>IF(L133="","",L133&amp;" Day Due")</f>
        <v/>
      </c>
      <c r="P133" s="10" t="str">
        <f>IF(A133="","",SUMIFS('Partial Payment Log'!$E$4:$E$501,'Partial Payment Log'!$C$4:$C$501,A133))</f>
        <v/>
      </c>
      <c r="Q133" s="10" t="str">
        <f>IF(A133="","",K133-P133)</f>
        <v/>
      </c>
      <c r="R133" s="6" t="str">
        <f>IF(A133="","",IF(Q133&lt;=0,IF(Q133&lt;0,"Overpaid","Paid"),IF(P133&gt;0,"Part Paid","Unpaid")))</f>
        <v/>
      </c>
    </row>
    <row r="134" spans="1:18" ht="15">
      <c r="A134" s="5"/>
      <c r="B134" s="5"/>
      <c r="C134" s="8"/>
      <c r="D134" s="9"/>
      <c r="E134" s="10"/>
      <c r="F134" s="10" t="str">
        <f t="shared" si="12"/>
        <v/>
      </c>
      <c r="G134" s="9"/>
      <c r="H134" s="10" t="str">
        <f t="shared" si="13"/>
        <v/>
      </c>
      <c r="I134" s="10" t="str">
        <f t="shared" si="14"/>
        <v/>
      </c>
      <c r="J134" s="10" t="str">
        <f t="shared" si="15"/>
        <v/>
      </c>
      <c r="K134" s="10" t="str">
        <f t="shared" si="16"/>
        <v/>
      </c>
      <c r="L134" s="6"/>
      <c r="M134" s="8" t="str">
        <f>IF(OR(C134="",L134=""),"",C134+L134)</f>
        <v/>
      </c>
      <c r="N134" s="11" t="str">
        <f t="shared" ca="1" si="17"/>
        <v/>
      </c>
      <c r="O134" s="7" t="str">
        <f>IF(L134="","",L134&amp;" Day Due")</f>
        <v/>
      </c>
      <c r="P134" s="10" t="str">
        <f>IF(A134="","",SUMIFS('Partial Payment Log'!$E$4:$E$501,'Partial Payment Log'!$C$4:$C$501,A134))</f>
        <v/>
      </c>
      <c r="Q134" s="10" t="str">
        <f>IF(A134="","",K134-P134)</f>
        <v/>
      </c>
      <c r="R134" s="6" t="str">
        <f>IF(A134="","",IF(Q134&lt;=0,IF(Q134&lt;0,"Overpaid","Paid"),IF(P134&gt;0,"Part Paid","Unpaid")))</f>
        <v/>
      </c>
    </row>
    <row r="135" spans="1:18" ht="15">
      <c r="A135" s="5"/>
      <c r="B135" s="5"/>
      <c r="C135" s="8"/>
      <c r="D135" s="9"/>
      <c r="E135" s="10"/>
      <c r="F135" s="10" t="str">
        <f t="shared" si="12"/>
        <v/>
      </c>
      <c r="G135" s="9"/>
      <c r="H135" s="10" t="str">
        <f t="shared" si="13"/>
        <v/>
      </c>
      <c r="I135" s="10" t="str">
        <f t="shared" si="14"/>
        <v/>
      </c>
      <c r="J135" s="10" t="str">
        <f t="shared" si="15"/>
        <v/>
      </c>
      <c r="K135" s="10" t="str">
        <f t="shared" si="16"/>
        <v/>
      </c>
      <c r="L135" s="6"/>
      <c r="M135" s="8" t="str">
        <f>IF(OR(C135="",L135=""),"",C135+L135)</f>
        <v/>
      </c>
      <c r="N135" s="11" t="str">
        <f t="shared" ca="1" si="17"/>
        <v/>
      </c>
      <c r="O135" s="7" t="str">
        <f>IF(L135="","",L135&amp;" Day Due")</f>
        <v/>
      </c>
      <c r="P135" s="10" t="str">
        <f>IF(A135="","",SUMIFS('Partial Payment Log'!$E$4:$E$501,'Partial Payment Log'!$C$4:$C$501,A135))</f>
        <v/>
      </c>
      <c r="Q135" s="10" t="str">
        <f>IF(A135="","",K135-P135)</f>
        <v/>
      </c>
      <c r="R135" s="6" t="str">
        <f>IF(A135="","",IF(Q135&lt;=0,IF(Q135&lt;0,"Overpaid","Paid"),IF(P135&gt;0,"Part Paid","Unpaid")))</f>
        <v/>
      </c>
    </row>
    <row r="136" spans="1:18" ht="15">
      <c r="A136" s="5"/>
      <c r="B136" s="5"/>
      <c r="C136" s="8"/>
      <c r="D136" s="9"/>
      <c r="E136" s="10"/>
      <c r="F136" s="10" t="str">
        <f t="shared" si="12"/>
        <v/>
      </c>
      <c r="G136" s="9"/>
      <c r="H136" s="10" t="str">
        <f t="shared" si="13"/>
        <v/>
      </c>
      <c r="I136" s="10" t="str">
        <f t="shared" si="14"/>
        <v/>
      </c>
      <c r="J136" s="10" t="str">
        <f t="shared" si="15"/>
        <v/>
      </c>
      <c r="K136" s="10" t="str">
        <f t="shared" si="16"/>
        <v/>
      </c>
      <c r="L136" s="6"/>
      <c r="M136" s="8" t="str">
        <f>IF(OR(C136="",L136=""),"",C136+L136)</f>
        <v/>
      </c>
      <c r="N136" s="11" t="str">
        <f t="shared" ca="1" si="17"/>
        <v/>
      </c>
      <c r="O136" s="7" t="str">
        <f>IF(L136="","",L136&amp;" Day Due")</f>
        <v/>
      </c>
      <c r="P136" s="10" t="str">
        <f>IF(A136="","",SUMIFS('Partial Payment Log'!$E$4:$E$501,'Partial Payment Log'!$C$4:$C$501,A136))</f>
        <v/>
      </c>
      <c r="Q136" s="10" t="str">
        <f>IF(A136="","",K136-P136)</f>
        <v/>
      </c>
      <c r="R136" s="6" t="str">
        <f>IF(A136="","",IF(Q136&lt;=0,IF(Q136&lt;0,"Overpaid","Paid"),IF(P136&gt;0,"Part Paid","Unpaid")))</f>
        <v/>
      </c>
    </row>
    <row r="137" spans="1:18" ht="15">
      <c r="A137" s="5"/>
      <c r="B137" s="5"/>
      <c r="C137" s="8"/>
      <c r="D137" s="9"/>
      <c r="E137" s="10"/>
      <c r="F137" s="10" t="str">
        <f t="shared" si="12"/>
        <v/>
      </c>
      <c r="G137" s="9"/>
      <c r="H137" s="10" t="str">
        <f t="shared" si="13"/>
        <v/>
      </c>
      <c r="I137" s="10" t="str">
        <f t="shared" si="14"/>
        <v/>
      </c>
      <c r="J137" s="10" t="str">
        <f t="shared" si="15"/>
        <v/>
      </c>
      <c r="K137" s="10" t="str">
        <f t="shared" si="16"/>
        <v/>
      </c>
      <c r="L137" s="6"/>
      <c r="M137" s="8" t="str">
        <f>IF(OR(C137="",L137=""),"",C137+L137)</f>
        <v/>
      </c>
      <c r="N137" s="11" t="str">
        <f t="shared" ca="1" si="17"/>
        <v/>
      </c>
      <c r="O137" s="7" t="str">
        <f>IF(L137="","",L137&amp;" Day Due")</f>
        <v/>
      </c>
      <c r="P137" s="10" t="str">
        <f>IF(A137="","",SUMIFS('Partial Payment Log'!$E$4:$E$501,'Partial Payment Log'!$C$4:$C$501,A137))</f>
        <v/>
      </c>
      <c r="Q137" s="10" t="str">
        <f>IF(A137="","",K137-P137)</f>
        <v/>
      </c>
      <c r="R137" s="6" t="str">
        <f>IF(A137="","",IF(Q137&lt;=0,IF(Q137&lt;0,"Overpaid","Paid"),IF(P137&gt;0,"Part Paid","Unpaid")))</f>
        <v/>
      </c>
    </row>
    <row r="138" spans="1:18" ht="15">
      <c r="A138" s="5"/>
      <c r="B138" s="5"/>
      <c r="C138" s="8"/>
      <c r="D138" s="9"/>
      <c r="E138" s="10"/>
      <c r="F138" s="10" t="str">
        <f t="shared" si="12"/>
        <v/>
      </c>
      <c r="G138" s="9"/>
      <c r="H138" s="10" t="str">
        <f t="shared" si="13"/>
        <v/>
      </c>
      <c r="I138" s="10" t="str">
        <f t="shared" si="14"/>
        <v/>
      </c>
      <c r="J138" s="10" t="str">
        <f t="shared" si="15"/>
        <v/>
      </c>
      <c r="K138" s="10" t="str">
        <f t="shared" si="16"/>
        <v/>
      </c>
      <c r="L138" s="6"/>
      <c r="M138" s="8" t="str">
        <f>IF(OR(C138="",L138=""),"",C138+L138)</f>
        <v/>
      </c>
      <c r="N138" s="11" t="str">
        <f t="shared" ca="1" si="17"/>
        <v/>
      </c>
      <c r="O138" s="7" t="str">
        <f>IF(L138="","",L138&amp;" Day Due")</f>
        <v/>
      </c>
      <c r="P138" s="10" t="str">
        <f>IF(A138="","",SUMIFS('Partial Payment Log'!$E$4:$E$501,'Partial Payment Log'!$C$4:$C$501,A138))</f>
        <v/>
      </c>
      <c r="Q138" s="10" t="str">
        <f>IF(A138="","",K138-P138)</f>
        <v/>
      </c>
      <c r="R138" s="6" t="str">
        <f>IF(A138="","",IF(Q138&lt;=0,IF(Q138&lt;0,"Overpaid","Paid"),IF(P138&gt;0,"Part Paid","Unpaid")))</f>
        <v/>
      </c>
    </row>
    <row r="139" spans="1:18" ht="15">
      <c r="A139" s="5"/>
      <c r="B139" s="5"/>
      <c r="C139" s="8"/>
      <c r="D139" s="9"/>
      <c r="E139" s="10"/>
      <c r="F139" s="10" t="str">
        <f t="shared" si="12"/>
        <v/>
      </c>
      <c r="G139" s="9"/>
      <c r="H139" s="10" t="str">
        <f t="shared" si="13"/>
        <v/>
      </c>
      <c r="I139" s="10" t="str">
        <f t="shared" si="14"/>
        <v/>
      </c>
      <c r="J139" s="10" t="str">
        <f t="shared" si="15"/>
        <v/>
      </c>
      <c r="K139" s="10" t="str">
        <f t="shared" si="16"/>
        <v/>
      </c>
      <c r="L139" s="6"/>
      <c r="M139" s="8" t="str">
        <f>IF(OR(C139="",L139=""),"",C139+L139)</f>
        <v/>
      </c>
      <c r="N139" s="11" t="str">
        <f t="shared" ca="1" si="17"/>
        <v/>
      </c>
      <c r="O139" s="7" t="str">
        <f>IF(L139="","",L139&amp;" Day Due")</f>
        <v/>
      </c>
      <c r="P139" s="10" t="str">
        <f>IF(A139="","",SUMIFS('Partial Payment Log'!$E$4:$E$501,'Partial Payment Log'!$C$4:$C$501,A139))</f>
        <v/>
      </c>
      <c r="Q139" s="10" t="str">
        <f>IF(A139="","",K139-P139)</f>
        <v/>
      </c>
      <c r="R139" s="6" t="str">
        <f>IF(A139="","",IF(Q139&lt;=0,IF(Q139&lt;0,"Overpaid","Paid"),IF(P139&gt;0,"Part Paid","Unpaid")))</f>
        <v/>
      </c>
    </row>
    <row r="140" spans="1:18" ht="15">
      <c r="A140" s="5"/>
      <c r="B140" s="5"/>
      <c r="C140" s="8"/>
      <c r="D140" s="9"/>
      <c r="E140" s="10"/>
      <c r="F140" s="10" t="str">
        <f t="shared" si="12"/>
        <v/>
      </c>
      <c r="G140" s="9"/>
      <c r="H140" s="10" t="str">
        <f t="shared" si="13"/>
        <v/>
      </c>
      <c r="I140" s="10" t="str">
        <f t="shared" si="14"/>
        <v/>
      </c>
      <c r="J140" s="10" t="str">
        <f t="shared" si="15"/>
        <v/>
      </c>
      <c r="K140" s="10" t="str">
        <f t="shared" si="16"/>
        <v/>
      </c>
      <c r="L140" s="6"/>
      <c r="M140" s="8" t="str">
        <f>IF(OR(C140="",L140=""),"",C140+L140)</f>
        <v/>
      </c>
      <c r="N140" s="11" t="str">
        <f t="shared" ca="1" si="17"/>
        <v/>
      </c>
      <c r="O140" s="7" t="str">
        <f>IF(L140="","",L140&amp;" Day Due")</f>
        <v/>
      </c>
      <c r="P140" s="10" t="str">
        <f>IF(A140="","",SUMIFS('Partial Payment Log'!$E$4:$E$501,'Partial Payment Log'!$C$4:$C$501,A140))</f>
        <v/>
      </c>
      <c r="Q140" s="10" t="str">
        <f>IF(A140="","",K140-P140)</f>
        <v/>
      </c>
      <c r="R140" s="6" t="str">
        <f>IF(A140="","",IF(Q140&lt;=0,IF(Q140&lt;0,"Overpaid","Paid"),IF(P140&gt;0,"Part Paid","Unpaid")))</f>
        <v/>
      </c>
    </row>
    <row r="141" spans="1:18" ht="15">
      <c r="A141" s="5"/>
      <c r="B141" s="5"/>
      <c r="C141" s="8"/>
      <c r="D141" s="9"/>
      <c r="E141" s="10"/>
      <c r="F141" s="10" t="str">
        <f t="shared" si="12"/>
        <v/>
      </c>
      <c r="G141" s="9"/>
      <c r="H141" s="10" t="str">
        <f t="shared" si="13"/>
        <v/>
      </c>
      <c r="I141" s="10" t="str">
        <f t="shared" si="14"/>
        <v/>
      </c>
      <c r="J141" s="10" t="str">
        <f t="shared" si="15"/>
        <v/>
      </c>
      <c r="K141" s="10" t="str">
        <f t="shared" si="16"/>
        <v/>
      </c>
      <c r="L141" s="6"/>
      <c r="M141" s="8" t="str">
        <f>IF(OR(C141="",L141=""),"",C141+L141)</f>
        <v/>
      </c>
      <c r="N141" s="11" t="str">
        <f t="shared" ca="1" si="17"/>
        <v/>
      </c>
      <c r="O141" s="7" t="str">
        <f>IF(L141="","",L141&amp;" Day Due")</f>
        <v/>
      </c>
      <c r="P141" s="10" t="str">
        <f>IF(A141="","",SUMIFS('Partial Payment Log'!$E$4:$E$501,'Partial Payment Log'!$C$4:$C$501,A141))</f>
        <v/>
      </c>
      <c r="Q141" s="10" t="str">
        <f>IF(A141="","",K141-P141)</f>
        <v/>
      </c>
      <c r="R141" s="6" t="str">
        <f>IF(A141="","",IF(Q141&lt;=0,IF(Q141&lt;0,"Overpaid","Paid"),IF(P141&gt;0,"Part Paid","Unpaid")))</f>
        <v/>
      </c>
    </row>
    <row r="142" spans="1:18" ht="15">
      <c r="A142" s="5"/>
      <c r="B142" s="5"/>
      <c r="C142" s="8"/>
      <c r="D142" s="9"/>
      <c r="E142" s="10"/>
      <c r="F142" s="10" t="str">
        <f t="shared" si="12"/>
        <v/>
      </c>
      <c r="G142" s="9"/>
      <c r="H142" s="10" t="str">
        <f t="shared" si="13"/>
        <v/>
      </c>
      <c r="I142" s="10" t="str">
        <f t="shared" si="14"/>
        <v/>
      </c>
      <c r="J142" s="10" t="str">
        <f t="shared" si="15"/>
        <v/>
      </c>
      <c r="K142" s="10" t="str">
        <f t="shared" si="16"/>
        <v/>
      </c>
      <c r="L142" s="6"/>
      <c r="M142" s="8" t="str">
        <f>IF(OR(C142="",L142=""),"",C142+L142)</f>
        <v/>
      </c>
      <c r="N142" s="11" t="str">
        <f t="shared" ca="1" si="17"/>
        <v/>
      </c>
      <c r="O142" s="7" t="str">
        <f>IF(L142="","",L142&amp;" Day Due")</f>
        <v/>
      </c>
      <c r="P142" s="10" t="str">
        <f>IF(A142="","",SUMIFS('Partial Payment Log'!$E$4:$E$501,'Partial Payment Log'!$C$4:$C$501,A142))</f>
        <v/>
      </c>
      <c r="Q142" s="10" t="str">
        <f>IF(A142="","",K142-P142)</f>
        <v/>
      </c>
      <c r="R142" s="6" t="str">
        <f>IF(A142="","",IF(Q142&lt;=0,IF(Q142&lt;0,"Overpaid","Paid"),IF(P142&gt;0,"Part Paid","Unpaid")))</f>
        <v/>
      </c>
    </row>
    <row r="143" spans="1:18" ht="15">
      <c r="A143" s="5"/>
      <c r="B143" s="5"/>
      <c r="C143" s="8"/>
      <c r="D143" s="9"/>
      <c r="E143" s="10"/>
      <c r="F143" s="10" t="str">
        <f t="shared" si="12"/>
        <v/>
      </c>
      <c r="G143" s="9"/>
      <c r="H143" s="10" t="str">
        <f t="shared" si="13"/>
        <v/>
      </c>
      <c r="I143" s="10" t="str">
        <f t="shared" si="14"/>
        <v/>
      </c>
      <c r="J143" s="10" t="str">
        <f t="shared" si="15"/>
        <v/>
      </c>
      <c r="K143" s="10" t="str">
        <f t="shared" si="16"/>
        <v/>
      </c>
      <c r="L143" s="6"/>
      <c r="M143" s="8" t="str">
        <f>IF(OR(C143="",L143=""),"",C143+L143)</f>
        <v/>
      </c>
      <c r="N143" s="11" t="str">
        <f t="shared" ca="1" si="17"/>
        <v/>
      </c>
      <c r="O143" s="7" t="str">
        <f>IF(L143="","",L143&amp;" Day Due")</f>
        <v/>
      </c>
      <c r="P143" s="10" t="str">
        <f>IF(A143="","",SUMIFS('Partial Payment Log'!$E$4:$E$501,'Partial Payment Log'!$C$4:$C$501,A143))</f>
        <v/>
      </c>
      <c r="Q143" s="10" t="str">
        <f>IF(A143="","",K143-P143)</f>
        <v/>
      </c>
      <c r="R143" s="6" t="str">
        <f>IF(A143="","",IF(Q143&lt;=0,IF(Q143&lt;0,"Overpaid","Paid"),IF(P143&gt;0,"Part Paid","Unpaid")))</f>
        <v/>
      </c>
    </row>
    <row r="144" spans="1:18" ht="15">
      <c r="A144" s="5"/>
      <c r="B144" s="5"/>
      <c r="C144" s="8"/>
      <c r="D144" s="9"/>
      <c r="E144" s="10"/>
      <c r="F144" s="10" t="str">
        <f t="shared" si="12"/>
        <v/>
      </c>
      <c r="G144" s="9"/>
      <c r="H144" s="10" t="str">
        <f t="shared" si="13"/>
        <v/>
      </c>
      <c r="I144" s="10" t="str">
        <f t="shared" si="14"/>
        <v/>
      </c>
      <c r="J144" s="10" t="str">
        <f t="shared" si="15"/>
        <v/>
      </c>
      <c r="K144" s="10" t="str">
        <f t="shared" si="16"/>
        <v/>
      </c>
      <c r="L144" s="6"/>
      <c r="M144" s="8" t="str">
        <f>IF(OR(C144="",L144=""),"",C144+L144)</f>
        <v/>
      </c>
      <c r="N144" s="11" t="str">
        <f t="shared" ca="1" si="17"/>
        <v/>
      </c>
      <c r="O144" s="7" t="str">
        <f>IF(L144="","",L144&amp;" Day Due")</f>
        <v/>
      </c>
      <c r="P144" s="10" t="str">
        <f>IF(A144="","",SUMIFS('Partial Payment Log'!$E$4:$E$501,'Partial Payment Log'!$C$4:$C$501,A144))</f>
        <v/>
      </c>
      <c r="Q144" s="10" t="str">
        <f>IF(A144="","",K144-P144)</f>
        <v/>
      </c>
      <c r="R144" s="6" t="str">
        <f>IF(A144="","",IF(Q144&lt;=0,IF(Q144&lt;0,"Overpaid","Paid"),IF(P144&gt;0,"Part Paid","Unpaid")))</f>
        <v/>
      </c>
    </row>
    <row r="145" spans="1:18" ht="15">
      <c r="A145" s="5"/>
      <c r="B145" s="5"/>
      <c r="C145" s="8"/>
      <c r="D145" s="9"/>
      <c r="E145" s="10"/>
      <c r="F145" s="10" t="str">
        <f t="shared" si="12"/>
        <v/>
      </c>
      <c r="G145" s="9"/>
      <c r="H145" s="10" t="str">
        <f t="shared" si="13"/>
        <v/>
      </c>
      <c r="I145" s="10" t="str">
        <f t="shared" si="14"/>
        <v/>
      </c>
      <c r="J145" s="10" t="str">
        <f t="shared" si="15"/>
        <v/>
      </c>
      <c r="K145" s="10" t="str">
        <f t="shared" si="16"/>
        <v/>
      </c>
      <c r="L145" s="6"/>
      <c r="M145" s="8" t="str">
        <f>IF(OR(C145="",L145=""),"",C145+L145)</f>
        <v/>
      </c>
      <c r="N145" s="11" t="str">
        <f t="shared" ca="1" si="17"/>
        <v/>
      </c>
      <c r="O145" s="7" t="str">
        <f>IF(L145="","",L145&amp;" Day Due")</f>
        <v/>
      </c>
      <c r="P145" s="10" t="str">
        <f>IF(A145="","",SUMIFS('Partial Payment Log'!$E$4:$E$501,'Partial Payment Log'!$C$4:$C$501,A145))</f>
        <v/>
      </c>
      <c r="Q145" s="10" t="str">
        <f>IF(A145="","",K145-P145)</f>
        <v/>
      </c>
      <c r="R145" s="6" t="str">
        <f>IF(A145="","",IF(Q145&lt;=0,IF(Q145&lt;0,"Overpaid","Paid"),IF(P145&gt;0,"Part Paid","Unpaid")))</f>
        <v/>
      </c>
    </row>
    <row r="146" spans="1:18" ht="15">
      <c r="A146" s="5"/>
      <c r="B146" s="5"/>
      <c r="C146" s="8"/>
      <c r="D146" s="9"/>
      <c r="E146" s="10"/>
      <c r="F146" s="10" t="str">
        <f t="shared" si="12"/>
        <v/>
      </c>
      <c r="G146" s="9"/>
      <c r="H146" s="10" t="str">
        <f t="shared" si="13"/>
        <v/>
      </c>
      <c r="I146" s="10" t="str">
        <f t="shared" si="14"/>
        <v/>
      </c>
      <c r="J146" s="10" t="str">
        <f t="shared" si="15"/>
        <v/>
      </c>
      <c r="K146" s="10" t="str">
        <f t="shared" si="16"/>
        <v/>
      </c>
      <c r="L146" s="6"/>
      <c r="M146" s="8" t="str">
        <f>IF(OR(C146="",L146=""),"",C146+L146)</f>
        <v/>
      </c>
      <c r="N146" s="11" t="str">
        <f t="shared" ca="1" si="17"/>
        <v/>
      </c>
      <c r="O146" s="7" t="str">
        <f>IF(L146="","",L146&amp;" Day Due")</f>
        <v/>
      </c>
      <c r="P146" s="10" t="str">
        <f>IF(A146="","",SUMIFS('Partial Payment Log'!$E$4:$E$501,'Partial Payment Log'!$C$4:$C$501,A146))</f>
        <v/>
      </c>
      <c r="Q146" s="10" t="str">
        <f>IF(A146="","",K146-P146)</f>
        <v/>
      </c>
      <c r="R146" s="6" t="str">
        <f>IF(A146="","",IF(Q146&lt;=0,IF(Q146&lt;0,"Overpaid","Paid"),IF(P146&gt;0,"Part Paid","Unpaid")))</f>
        <v/>
      </c>
    </row>
    <row r="147" spans="1:18" ht="15">
      <c r="A147" s="5"/>
      <c r="B147" s="5"/>
      <c r="C147" s="8"/>
      <c r="D147" s="9"/>
      <c r="E147" s="10"/>
      <c r="F147" s="10" t="str">
        <f t="shared" si="12"/>
        <v/>
      </c>
      <c r="G147" s="9"/>
      <c r="H147" s="10" t="str">
        <f t="shared" si="13"/>
        <v/>
      </c>
      <c r="I147" s="10" t="str">
        <f t="shared" si="14"/>
        <v/>
      </c>
      <c r="J147" s="10" t="str">
        <f t="shared" si="15"/>
        <v/>
      </c>
      <c r="K147" s="10" t="str">
        <f t="shared" si="16"/>
        <v/>
      </c>
      <c r="L147" s="6"/>
      <c r="M147" s="8" t="str">
        <f>IF(OR(C147="",L147=""),"",C147+L147)</f>
        <v/>
      </c>
      <c r="N147" s="11" t="str">
        <f t="shared" ca="1" si="17"/>
        <v/>
      </c>
      <c r="O147" s="7" t="str">
        <f>IF(L147="","",L147&amp;" Day Due")</f>
        <v/>
      </c>
      <c r="P147" s="10" t="str">
        <f>IF(A147="","",SUMIFS('Partial Payment Log'!$E$4:$E$501,'Partial Payment Log'!$C$4:$C$501,A147))</f>
        <v/>
      </c>
      <c r="Q147" s="10" t="str">
        <f>IF(A147="","",K147-P147)</f>
        <v/>
      </c>
      <c r="R147" s="6" t="str">
        <f>IF(A147="","",IF(Q147&lt;=0,IF(Q147&lt;0,"Overpaid","Paid"),IF(P147&gt;0,"Part Paid","Unpaid")))</f>
        <v/>
      </c>
    </row>
    <row r="148" spans="1:18" ht="15">
      <c r="A148" s="5"/>
      <c r="B148" s="5"/>
      <c r="C148" s="8"/>
      <c r="D148" s="9"/>
      <c r="E148" s="10"/>
      <c r="F148" s="10" t="str">
        <f t="shared" si="12"/>
        <v/>
      </c>
      <c r="G148" s="9"/>
      <c r="H148" s="10" t="str">
        <f t="shared" si="13"/>
        <v/>
      </c>
      <c r="I148" s="10" t="str">
        <f t="shared" si="14"/>
        <v/>
      </c>
      <c r="J148" s="10" t="str">
        <f t="shared" si="15"/>
        <v/>
      </c>
      <c r="K148" s="10" t="str">
        <f t="shared" si="16"/>
        <v/>
      </c>
      <c r="L148" s="6"/>
      <c r="M148" s="8" t="str">
        <f>IF(OR(C148="",L148=""),"",C148+L148)</f>
        <v/>
      </c>
      <c r="N148" s="11" t="str">
        <f t="shared" ca="1" si="17"/>
        <v/>
      </c>
      <c r="O148" s="7" t="str">
        <f>IF(L148="","",L148&amp;" Day Due")</f>
        <v/>
      </c>
      <c r="P148" s="10" t="str">
        <f>IF(A148="","",SUMIFS('Partial Payment Log'!$E$4:$E$501,'Partial Payment Log'!$C$4:$C$501,A148))</f>
        <v/>
      </c>
      <c r="Q148" s="10" t="str">
        <f>IF(A148="","",K148-P148)</f>
        <v/>
      </c>
      <c r="R148" s="6" t="str">
        <f>IF(A148="","",IF(Q148&lt;=0,IF(Q148&lt;0,"Overpaid","Paid"),IF(P148&gt;0,"Part Paid","Unpaid")))</f>
        <v/>
      </c>
    </row>
    <row r="149" spans="1:18" ht="15">
      <c r="A149" s="5"/>
      <c r="B149" s="5"/>
      <c r="C149" s="8"/>
      <c r="D149" s="9"/>
      <c r="E149" s="10"/>
      <c r="F149" s="10" t="str">
        <f t="shared" si="12"/>
        <v/>
      </c>
      <c r="G149" s="9"/>
      <c r="H149" s="10" t="str">
        <f t="shared" si="13"/>
        <v/>
      </c>
      <c r="I149" s="10" t="str">
        <f t="shared" si="14"/>
        <v/>
      </c>
      <c r="J149" s="10" t="str">
        <f t="shared" si="15"/>
        <v/>
      </c>
      <c r="K149" s="10" t="str">
        <f t="shared" si="16"/>
        <v/>
      </c>
      <c r="L149" s="6"/>
      <c r="M149" s="8" t="str">
        <f>IF(OR(C149="",L149=""),"",C149+L149)</f>
        <v/>
      </c>
      <c r="N149" s="11" t="str">
        <f t="shared" ca="1" si="17"/>
        <v/>
      </c>
      <c r="O149" s="7" t="str">
        <f>IF(L149="","",L149&amp;" Day Due")</f>
        <v/>
      </c>
      <c r="P149" s="10" t="str">
        <f>IF(A149="","",SUMIFS('Partial Payment Log'!$E$4:$E$501,'Partial Payment Log'!$C$4:$C$501,A149))</f>
        <v/>
      </c>
      <c r="Q149" s="10" t="str">
        <f>IF(A149="","",K149-P149)</f>
        <v/>
      </c>
      <c r="R149" s="6" t="str">
        <f>IF(A149="","",IF(Q149&lt;=0,IF(Q149&lt;0,"Overpaid","Paid"),IF(P149&gt;0,"Part Paid","Unpaid")))</f>
        <v/>
      </c>
    </row>
    <row r="150" spans="1:18" ht="15">
      <c r="A150" s="5"/>
      <c r="B150" s="5"/>
      <c r="C150" s="8"/>
      <c r="D150" s="9"/>
      <c r="E150" s="10"/>
      <c r="F150" s="10" t="str">
        <f t="shared" si="12"/>
        <v/>
      </c>
      <c r="G150" s="9"/>
      <c r="H150" s="10" t="str">
        <f t="shared" si="13"/>
        <v/>
      </c>
      <c r="I150" s="10" t="str">
        <f t="shared" si="14"/>
        <v/>
      </c>
      <c r="J150" s="10" t="str">
        <f t="shared" si="15"/>
        <v/>
      </c>
      <c r="K150" s="10" t="str">
        <f t="shared" si="16"/>
        <v/>
      </c>
      <c r="L150" s="6"/>
      <c r="M150" s="8" t="str">
        <f>IF(OR(C150="",L150=""),"",C150+L150)</f>
        <v/>
      </c>
      <c r="N150" s="11" t="str">
        <f t="shared" ca="1" si="17"/>
        <v/>
      </c>
      <c r="O150" s="7" t="str">
        <f>IF(L150="","",L150&amp;" Day Due")</f>
        <v/>
      </c>
      <c r="P150" s="10" t="str">
        <f>IF(A150="","",SUMIFS('Partial Payment Log'!$E$4:$E$501,'Partial Payment Log'!$C$4:$C$501,A150))</f>
        <v/>
      </c>
      <c r="Q150" s="10" t="str">
        <f>IF(A150="","",K150-P150)</f>
        <v/>
      </c>
      <c r="R150" s="6" t="str">
        <f>IF(A150="","",IF(Q150&lt;=0,IF(Q150&lt;0,"Overpaid","Paid"),IF(P150&gt;0,"Part Paid","Unpaid")))</f>
        <v/>
      </c>
    </row>
    <row r="151" spans="1:18" ht="15">
      <c r="A151" s="5"/>
      <c r="B151" s="5"/>
      <c r="C151" s="8"/>
      <c r="D151" s="9"/>
      <c r="E151" s="10"/>
      <c r="F151" s="10" t="str">
        <f t="shared" si="12"/>
        <v/>
      </c>
      <c r="G151" s="9"/>
      <c r="H151" s="10" t="str">
        <f t="shared" si="13"/>
        <v/>
      </c>
      <c r="I151" s="10" t="str">
        <f t="shared" si="14"/>
        <v/>
      </c>
      <c r="J151" s="10" t="str">
        <f t="shared" si="15"/>
        <v/>
      </c>
      <c r="K151" s="10" t="str">
        <f t="shared" si="16"/>
        <v/>
      </c>
      <c r="L151" s="6"/>
      <c r="M151" s="8" t="str">
        <f>IF(OR(C151="",L151=""),"",C151+L151)</f>
        <v/>
      </c>
      <c r="N151" s="11" t="str">
        <f t="shared" ca="1" si="17"/>
        <v/>
      </c>
      <c r="O151" s="7" t="str">
        <f>IF(L151="","",L151&amp;" Day Due")</f>
        <v/>
      </c>
      <c r="P151" s="10" t="str">
        <f>IF(A151="","",SUMIFS('Partial Payment Log'!$E$4:$E$501,'Partial Payment Log'!$C$4:$C$501,A151))</f>
        <v/>
      </c>
      <c r="Q151" s="10" t="str">
        <f>IF(A151="","",K151-P151)</f>
        <v/>
      </c>
      <c r="R151" s="6" t="str">
        <f>IF(A151="","",IF(Q151&lt;=0,IF(Q151&lt;0,"Overpaid","Paid"),IF(P151&gt;0,"Part Paid","Unpaid")))</f>
        <v/>
      </c>
    </row>
    <row r="152" spans="1:18" ht="15">
      <c r="A152" s="5"/>
      <c r="B152" s="5"/>
      <c r="C152" s="8"/>
      <c r="D152" s="9"/>
      <c r="E152" s="10"/>
      <c r="F152" s="10" t="str">
        <f t="shared" si="12"/>
        <v/>
      </c>
      <c r="G152" s="9"/>
      <c r="H152" s="10" t="str">
        <f t="shared" si="13"/>
        <v/>
      </c>
      <c r="I152" s="10" t="str">
        <f t="shared" si="14"/>
        <v/>
      </c>
      <c r="J152" s="10" t="str">
        <f t="shared" si="15"/>
        <v/>
      </c>
      <c r="K152" s="10" t="str">
        <f t="shared" si="16"/>
        <v/>
      </c>
      <c r="L152" s="6"/>
      <c r="M152" s="8" t="str">
        <f>IF(OR(C152="",L152=""),"",C152+L152)</f>
        <v/>
      </c>
      <c r="N152" s="11" t="str">
        <f t="shared" ca="1" si="17"/>
        <v/>
      </c>
      <c r="O152" s="7" t="str">
        <f>IF(L152="","",L152&amp;" Day Due")</f>
        <v/>
      </c>
      <c r="P152" s="10" t="str">
        <f>IF(A152="","",SUMIFS('Partial Payment Log'!$E$4:$E$501,'Partial Payment Log'!$C$4:$C$501,A152))</f>
        <v/>
      </c>
      <c r="Q152" s="10" t="str">
        <f>IF(A152="","",K152-P152)</f>
        <v/>
      </c>
      <c r="R152" s="6" t="str">
        <f>IF(A152="","",IF(Q152&lt;=0,IF(Q152&lt;0,"Overpaid","Paid"),IF(P152&gt;0,"Part Paid","Unpaid")))</f>
        <v/>
      </c>
    </row>
    <row r="153" spans="1:18" ht="15">
      <c r="A153" s="5"/>
      <c r="B153" s="5"/>
      <c r="C153" s="8"/>
      <c r="D153" s="9"/>
      <c r="E153" s="10"/>
      <c r="F153" s="10" t="str">
        <f t="shared" si="12"/>
        <v/>
      </c>
      <c r="G153" s="9"/>
      <c r="H153" s="10" t="str">
        <f t="shared" si="13"/>
        <v/>
      </c>
      <c r="I153" s="10" t="str">
        <f t="shared" si="14"/>
        <v/>
      </c>
      <c r="J153" s="10" t="str">
        <f t="shared" si="15"/>
        <v/>
      </c>
      <c r="K153" s="10" t="str">
        <f t="shared" si="16"/>
        <v/>
      </c>
      <c r="L153" s="6"/>
      <c r="M153" s="8" t="str">
        <f>IF(OR(C153="",L153=""),"",C153+L153)</f>
        <v/>
      </c>
      <c r="N153" s="11" t="str">
        <f t="shared" ca="1" si="17"/>
        <v/>
      </c>
      <c r="O153" s="7" t="str">
        <f>IF(L153="","",L153&amp;" Day Due")</f>
        <v/>
      </c>
      <c r="P153" s="10" t="str">
        <f>IF(A153="","",SUMIFS('Partial Payment Log'!$E$4:$E$501,'Partial Payment Log'!$C$4:$C$501,A153))</f>
        <v/>
      </c>
      <c r="Q153" s="10" t="str">
        <f>IF(A153="","",K153-P153)</f>
        <v/>
      </c>
      <c r="R153" s="6" t="str">
        <f>IF(A153="","",IF(Q153&lt;=0,IF(Q153&lt;0,"Overpaid","Paid"),IF(P153&gt;0,"Part Paid","Unpaid")))</f>
        <v/>
      </c>
    </row>
    <row r="154" spans="1:18" ht="15">
      <c r="A154" s="5"/>
      <c r="B154" s="5"/>
      <c r="C154" s="8"/>
      <c r="D154" s="9"/>
      <c r="E154" s="10"/>
      <c r="F154" s="10" t="str">
        <f t="shared" si="12"/>
        <v/>
      </c>
      <c r="G154" s="9"/>
      <c r="H154" s="10" t="str">
        <f t="shared" si="13"/>
        <v/>
      </c>
      <c r="I154" s="10" t="str">
        <f t="shared" si="14"/>
        <v/>
      </c>
      <c r="J154" s="10" t="str">
        <f t="shared" si="15"/>
        <v/>
      </c>
      <c r="K154" s="10" t="str">
        <f t="shared" si="16"/>
        <v/>
      </c>
      <c r="L154" s="6"/>
      <c r="M154" s="8" t="str">
        <f>IF(OR(C154="",L154=""),"",C154+L154)</f>
        <v/>
      </c>
      <c r="N154" s="11" t="str">
        <f t="shared" ca="1" si="17"/>
        <v/>
      </c>
      <c r="O154" s="7" t="str">
        <f>IF(L154="","",L154&amp;" Day Due")</f>
        <v/>
      </c>
      <c r="P154" s="10" t="str">
        <f>IF(A154="","",SUMIFS('Partial Payment Log'!$E$4:$E$501,'Partial Payment Log'!$C$4:$C$501,A154))</f>
        <v/>
      </c>
      <c r="Q154" s="10" t="str">
        <f>IF(A154="","",K154-P154)</f>
        <v/>
      </c>
      <c r="R154" s="6" t="str">
        <f>IF(A154="","",IF(Q154&lt;=0,IF(Q154&lt;0,"Overpaid","Paid"),IF(P154&gt;0,"Part Paid","Unpaid")))</f>
        <v/>
      </c>
    </row>
    <row r="155" spans="1:18" ht="15">
      <c r="A155" s="5"/>
      <c r="B155" s="5"/>
      <c r="C155" s="8"/>
      <c r="D155" s="9"/>
      <c r="E155" s="10"/>
      <c r="F155" s="10" t="str">
        <f t="shared" si="12"/>
        <v/>
      </c>
      <c r="G155" s="9"/>
      <c r="H155" s="10" t="str">
        <f t="shared" si="13"/>
        <v/>
      </c>
      <c r="I155" s="10" t="str">
        <f t="shared" si="14"/>
        <v/>
      </c>
      <c r="J155" s="10" t="str">
        <f t="shared" si="15"/>
        <v/>
      </c>
      <c r="K155" s="10" t="str">
        <f t="shared" si="16"/>
        <v/>
      </c>
      <c r="L155" s="6"/>
      <c r="M155" s="8" t="str">
        <f>IF(OR(C155="",L155=""),"",C155+L155)</f>
        <v/>
      </c>
      <c r="N155" s="11" t="str">
        <f t="shared" ca="1" si="17"/>
        <v/>
      </c>
      <c r="O155" s="7" t="str">
        <f>IF(L155="","",L155&amp;" Day Due")</f>
        <v/>
      </c>
      <c r="P155" s="10" t="str">
        <f>IF(A155="","",SUMIFS('Partial Payment Log'!$E$4:$E$501,'Partial Payment Log'!$C$4:$C$501,A155))</f>
        <v/>
      </c>
      <c r="Q155" s="10" t="str">
        <f>IF(A155="","",K155-P155)</f>
        <v/>
      </c>
      <c r="R155" s="6" t="str">
        <f>IF(A155="","",IF(Q155&lt;=0,IF(Q155&lt;0,"Overpaid","Paid"),IF(P155&gt;0,"Part Paid","Unpaid")))</f>
        <v/>
      </c>
    </row>
    <row r="156" spans="1:18" ht="15">
      <c r="A156" s="5"/>
      <c r="B156" s="5"/>
      <c r="C156" s="8"/>
      <c r="D156" s="9"/>
      <c r="E156" s="10"/>
      <c r="F156" s="10" t="str">
        <f t="shared" si="12"/>
        <v/>
      </c>
      <c r="G156" s="9"/>
      <c r="H156" s="10" t="str">
        <f t="shared" si="13"/>
        <v/>
      </c>
      <c r="I156" s="10" t="str">
        <f t="shared" si="14"/>
        <v/>
      </c>
      <c r="J156" s="10" t="str">
        <f t="shared" si="15"/>
        <v/>
      </c>
      <c r="K156" s="10" t="str">
        <f t="shared" si="16"/>
        <v/>
      </c>
      <c r="L156" s="6"/>
      <c r="M156" s="8" t="str">
        <f>IF(OR(C156="",L156=""),"",C156+L156)</f>
        <v/>
      </c>
      <c r="N156" s="11" t="str">
        <f t="shared" ca="1" si="17"/>
        <v/>
      </c>
      <c r="O156" s="7" t="str">
        <f>IF(L156="","",L156&amp;" Day Due")</f>
        <v/>
      </c>
      <c r="P156" s="10" t="str">
        <f>IF(A156="","",SUMIFS('Partial Payment Log'!$E$4:$E$501,'Partial Payment Log'!$C$4:$C$501,A156))</f>
        <v/>
      </c>
      <c r="Q156" s="10" t="str">
        <f>IF(A156="","",K156-P156)</f>
        <v/>
      </c>
      <c r="R156" s="6" t="str">
        <f>IF(A156="","",IF(Q156&lt;=0,IF(Q156&lt;0,"Overpaid","Paid"),IF(P156&gt;0,"Part Paid","Unpaid")))</f>
        <v/>
      </c>
    </row>
    <row r="157" spans="1:18" ht="15">
      <c r="A157" s="5"/>
      <c r="B157" s="5"/>
      <c r="C157" s="8"/>
      <c r="D157" s="9"/>
      <c r="E157" s="10"/>
      <c r="F157" s="10" t="str">
        <f t="shared" si="12"/>
        <v/>
      </c>
      <c r="G157" s="9"/>
      <c r="H157" s="10" t="str">
        <f t="shared" si="13"/>
        <v/>
      </c>
      <c r="I157" s="10" t="str">
        <f t="shared" si="14"/>
        <v/>
      </c>
      <c r="J157" s="10" t="str">
        <f t="shared" si="15"/>
        <v/>
      </c>
      <c r="K157" s="10" t="str">
        <f t="shared" si="16"/>
        <v/>
      </c>
      <c r="L157" s="6"/>
      <c r="M157" s="8" t="str">
        <f>IF(OR(C157="",L157=""),"",C157+L157)</f>
        <v/>
      </c>
      <c r="N157" s="11" t="str">
        <f t="shared" ca="1" si="17"/>
        <v/>
      </c>
      <c r="O157" s="7" t="str">
        <f>IF(L157="","",L157&amp;" Day Due")</f>
        <v/>
      </c>
      <c r="P157" s="10" t="str">
        <f>IF(A157="","",SUMIFS('Partial Payment Log'!$E$4:$E$501,'Partial Payment Log'!$C$4:$C$501,A157))</f>
        <v/>
      </c>
      <c r="Q157" s="10" t="str">
        <f>IF(A157="","",K157-P157)</f>
        <v/>
      </c>
      <c r="R157" s="6" t="str">
        <f>IF(A157="","",IF(Q157&lt;=0,IF(Q157&lt;0,"Overpaid","Paid"),IF(P157&gt;0,"Part Paid","Unpaid")))</f>
        <v/>
      </c>
    </row>
    <row r="158" spans="1:18" ht="15">
      <c r="A158" s="5"/>
      <c r="B158" s="5"/>
      <c r="C158" s="8"/>
      <c r="D158" s="9"/>
      <c r="E158" s="10"/>
      <c r="F158" s="10" t="str">
        <f t="shared" si="12"/>
        <v/>
      </c>
      <c r="G158" s="9"/>
      <c r="H158" s="10" t="str">
        <f t="shared" si="13"/>
        <v/>
      </c>
      <c r="I158" s="10" t="str">
        <f t="shared" si="14"/>
        <v/>
      </c>
      <c r="J158" s="10" t="str">
        <f t="shared" si="15"/>
        <v/>
      </c>
      <c r="K158" s="10" t="str">
        <f t="shared" si="16"/>
        <v/>
      </c>
      <c r="L158" s="6"/>
      <c r="M158" s="8" t="str">
        <f>IF(OR(C158="",L158=""),"",C158+L158)</f>
        <v/>
      </c>
      <c r="N158" s="11" t="str">
        <f t="shared" ca="1" si="17"/>
        <v/>
      </c>
      <c r="O158" s="7" t="str">
        <f>IF(L158="","",L158&amp;" Day Due")</f>
        <v/>
      </c>
      <c r="P158" s="10" t="str">
        <f>IF(A158="","",SUMIFS('Partial Payment Log'!$E$4:$E$501,'Partial Payment Log'!$C$4:$C$501,A158))</f>
        <v/>
      </c>
      <c r="Q158" s="10" t="str">
        <f>IF(A158="","",K158-P158)</f>
        <v/>
      </c>
      <c r="R158" s="6" t="str">
        <f>IF(A158="","",IF(Q158&lt;=0,IF(Q158&lt;0,"Overpaid","Paid"),IF(P158&gt;0,"Part Paid","Unpaid")))</f>
        <v/>
      </c>
    </row>
    <row r="159" spans="1:18" ht="15">
      <c r="A159" s="5"/>
      <c r="B159" s="5"/>
      <c r="C159" s="8"/>
      <c r="D159" s="9"/>
      <c r="E159" s="10"/>
      <c r="F159" s="10" t="str">
        <f t="shared" si="12"/>
        <v/>
      </c>
      <c r="G159" s="9"/>
      <c r="H159" s="10" t="str">
        <f t="shared" si="13"/>
        <v/>
      </c>
      <c r="I159" s="10" t="str">
        <f t="shared" si="14"/>
        <v/>
      </c>
      <c r="J159" s="10" t="str">
        <f t="shared" si="15"/>
        <v/>
      </c>
      <c r="K159" s="10" t="str">
        <f t="shared" si="16"/>
        <v/>
      </c>
      <c r="L159" s="6"/>
      <c r="M159" s="8" t="str">
        <f>IF(OR(C159="",L159=""),"",C159+L159)</f>
        <v/>
      </c>
      <c r="N159" s="11" t="str">
        <f t="shared" ca="1" si="17"/>
        <v/>
      </c>
      <c r="O159" s="7" t="str">
        <f>IF(L159="","",L159&amp;" Day Due")</f>
        <v/>
      </c>
      <c r="P159" s="10" t="str">
        <f>IF(A159="","",SUMIFS('Partial Payment Log'!$E$4:$E$501,'Partial Payment Log'!$C$4:$C$501,A159))</f>
        <v/>
      </c>
      <c r="Q159" s="10" t="str">
        <f>IF(A159="","",K159-P159)</f>
        <v/>
      </c>
      <c r="R159" s="6" t="str">
        <f>IF(A159="","",IF(Q159&lt;=0,IF(Q159&lt;0,"Overpaid","Paid"),IF(P159&gt;0,"Part Paid","Unpaid")))</f>
        <v/>
      </c>
    </row>
    <row r="160" spans="1:18" ht="15">
      <c r="A160" s="5"/>
      <c r="B160" s="5"/>
      <c r="C160" s="8"/>
      <c r="D160" s="9"/>
      <c r="E160" s="10"/>
      <c r="F160" s="10" t="str">
        <f t="shared" si="12"/>
        <v/>
      </c>
      <c r="G160" s="9"/>
      <c r="H160" s="10" t="str">
        <f t="shared" si="13"/>
        <v/>
      </c>
      <c r="I160" s="10" t="str">
        <f t="shared" si="14"/>
        <v/>
      </c>
      <c r="J160" s="10" t="str">
        <f t="shared" si="15"/>
        <v/>
      </c>
      <c r="K160" s="10" t="str">
        <f t="shared" si="16"/>
        <v/>
      </c>
      <c r="L160" s="6"/>
      <c r="M160" s="8" t="str">
        <f>IF(OR(C160="",L160=""),"",C160+L160)</f>
        <v/>
      </c>
      <c r="N160" s="11" t="str">
        <f t="shared" ca="1" si="17"/>
        <v/>
      </c>
      <c r="O160" s="7" t="str">
        <f>IF(L160="","",L160&amp;" Day Due")</f>
        <v/>
      </c>
      <c r="P160" s="10" t="str">
        <f>IF(A160="","",SUMIFS('Partial Payment Log'!$E$4:$E$501,'Partial Payment Log'!$C$4:$C$501,A160))</f>
        <v/>
      </c>
      <c r="Q160" s="10" t="str">
        <f>IF(A160="","",K160-P160)</f>
        <v/>
      </c>
      <c r="R160" s="6" t="str">
        <f>IF(A160="","",IF(Q160&lt;=0,IF(Q160&lt;0,"Overpaid","Paid"),IF(P160&gt;0,"Part Paid","Unpaid")))</f>
        <v/>
      </c>
    </row>
    <row r="161" spans="1:18" ht="15">
      <c r="A161" s="5"/>
      <c r="B161" s="5"/>
      <c r="C161" s="8"/>
      <c r="D161" s="9"/>
      <c r="E161" s="10"/>
      <c r="F161" s="10" t="str">
        <f t="shared" si="12"/>
        <v/>
      </c>
      <c r="G161" s="9"/>
      <c r="H161" s="10" t="str">
        <f t="shared" si="13"/>
        <v/>
      </c>
      <c r="I161" s="10" t="str">
        <f t="shared" si="14"/>
        <v/>
      </c>
      <c r="J161" s="10" t="str">
        <f t="shared" si="15"/>
        <v/>
      </c>
      <c r="K161" s="10" t="str">
        <f t="shared" si="16"/>
        <v/>
      </c>
      <c r="L161" s="6"/>
      <c r="M161" s="8" t="str">
        <f>IF(OR(C161="",L161=""),"",C161+L161)</f>
        <v/>
      </c>
      <c r="N161" s="11" t="str">
        <f t="shared" ca="1" si="17"/>
        <v/>
      </c>
      <c r="O161" s="7" t="str">
        <f>IF(L161="","",L161&amp;" Day Due")</f>
        <v/>
      </c>
      <c r="P161" s="10" t="str">
        <f>IF(A161="","",SUMIFS('Partial Payment Log'!$E$4:$E$501,'Partial Payment Log'!$C$4:$C$501,A161))</f>
        <v/>
      </c>
      <c r="Q161" s="10" t="str">
        <f>IF(A161="","",K161-P161)</f>
        <v/>
      </c>
      <c r="R161" s="6" t="str">
        <f>IF(A161="","",IF(Q161&lt;=0,IF(Q161&lt;0,"Overpaid","Paid"),IF(P161&gt;0,"Part Paid","Unpaid")))</f>
        <v/>
      </c>
    </row>
    <row r="162" spans="1:18" ht="15">
      <c r="A162" s="5"/>
      <c r="B162" s="5"/>
      <c r="C162" s="8"/>
      <c r="D162" s="9"/>
      <c r="E162" s="10"/>
      <c r="F162" s="10" t="str">
        <f t="shared" si="12"/>
        <v/>
      </c>
      <c r="G162" s="9"/>
      <c r="H162" s="10" t="str">
        <f t="shared" si="13"/>
        <v/>
      </c>
      <c r="I162" s="10" t="str">
        <f t="shared" si="14"/>
        <v/>
      </c>
      <c r="J162" s="10" t="str">
        <f t="shared" si="15"/>
        <v/>
      </c>
      <c r="K162" s="10" t="str">
        <f t="shared" si="16"/>
        <v/>
      </c>
      <c r="L162" s="6"/>
      <c r="M162" s="8" t="str">
        <f>IF(OR(C162="",L162=""),"",C162+L162)</f>
        <v/>
      </c>
      <c r="N162" s="11" t="str">
        <f t="shared" ca="1" si="17"/>
        <v/>
      </c>
      <c r="O162" s="7" t="str">
        <f>IF(L162="","",L162&amp;" Day Due")</f>
        <v/>
      </c>
      <c r="P162" s="10" t="str">
        <f>IF(A162="","",SUMIFS('Partial Payment Log'!$E$4:$E$501,'Partial Payment Log'!$C$4:$C$501,A162))</f>
        <v/>
      </c>
      <c r="Q162" s="10" t="str">
        <f>IF(A162="","",K162-P162)</f>
        <v/>
      </c>
      <c r="R162" s="6" t="str">
        <f>IF(A162="","",IF(Q162&lt;=0,IF(Q162&lt;0,"Overpaid","Paid"),IF(P162&gt;0,"Part Paid","Unpaid")))</f>
        <v/>
      </c>
    </row>
    <row r="163" spans="1:18" ht="15">
      <c r="A163" s="5"/>
      <c r="B163" s="5"/>
      <c r="C163" s="8"/>
      <c r="D163" s="9"/>
      <c r="E163" s="10"/>
      <c r="F163" s="10" t="str">
        <f t="shared" si="12"/>
        <v/>
      </c>
      <c r="G163" s="9"/>
      <c r="H163" s="10" t="str">
        <f t="shared" si="13"/>
        <v/>
      </c>
      <c r="I163" s="10" t="str">
        <f t="shared" si="14"/>
        <v/>
      </c>
      <c r="J163" s="10" t="str">
        <f t="shared" si="15"/>
        <v/>
      </c>
      <c r="K163" s="10" t="str">
        <f t="shared" si="16"/>
        <v/>
      </c>
      <c r="L163" s="6"/>
      <c r="M163" s="8" t="str">
        <f>IF(OR(C163="",L163=""),"",C163+L163)</f>
        <v/>
      </c>
      <c r="N163" s="11" t="str">
        <f t="shared" ca="1" si="17"/>
        <v/>
      </c>
      <c r="O163" s="7" t="str">
        <f>IF(L163="","",L163&amp;" Day Due")</f>
        <v/>
      </c>
      <c r="P163" s="10" t="str">
        <f>IF(A163="","",SUMIFS('Partial Payment Log'!$E$4:$E$501,'Partial Payment Log'!$C$4:$C$501,A163))</f>
        <v/>
      </c>
      <c r="Q163" s="10" t="str">
        <f>IF(A163="","",K163-P163)</f>
        <v/>
      </c>
      <c r="R163" s="6" t="str">
        <f>IF(A163="","",IF(Q163&lt;=0,IF(Q163&lt;0,"Overpaid","Paid"),IF(P163&gt;0,"Part Paid","Unpaid")))</f>
        <v/>
      </c>
    </row>
    <row r="164" spans="1:18" ht="15">
      <c r="A164" s="5"/>
      <c r="B164" s="5"/>
      <c r="C164" s="8"/>
      <c r="D164" s="9"/>
      <c r="E164" s="10"/>
      <c r="F164" s="10" t="str">
        <f t="shared" si="12"/>
        <v/>
      </c>
      <c r="G164" s="9"/>
      <c r="H164" s="10" t="str">
        <f t="shared" si="13"/>
        <v/>
      </c>
      <c r="I164" s="10" t="str">
        <f t="shared" si="14"/>
        <v/>
      </c>
      <c r="J164" s="10" t="str">
        <f t="shared" si="15"/>
        <v/>
      </c>
      <c r="K164" s="10" t="str">
        <f t="shared" si="16"/>
        <v/>
      </c>
      <c r="L164" s="6"/>
      <c r="M164" s="8" t="str">
        <f>IF(OR(C164="",L164=""),"",C164+L164)</f>
        <v/>
      </c>
      <c r="N164" s="11" t="str">
        <f t="shared" ca="1" si="17"/>
        <v/>
      </c>
      <c r="O164" s="7" t="str">
        <f>IF(L164="","",L164&amp;" Day Due")</f>
        <v/>
      </c>
      <c r="P164" s="10" t="str">
        <f>IF(A164="","",SUMIFS('Partial Payment Log'!$E$4:$E$501,'Partial Payment Log'!$C$4:$C$501,A164))</f>
        <v/>
      </c>
      <c r="Q164" s="10" t="str">
        <f>IF(A164="","",K164-P164)</f>
        <v/>
      </c>
      <c r="R164" s="6" t="str">
        <f>IF(A164="","",IF(Q164&lt;=0,IF(Q164&lt;0,"Overpaid","Paid"),IF(P164&gt;0,"Part Paid","Unpaid")))</f>
        <v/>
      </c>
    </row>
    <row r="165" spans="1:18" ht="15">
      <c r="A165" s="5"/>
      <c r="B165" s="5"/>
      <c r="C165" s="8"/>
      <c r="D165" s="9"/>
      <c r="E165" s="10"/>
      <c r="F165" s="10" t="str">
        <f t="shared" si="12"/>
        <v/>
      </c>
      <c r="G165" s="9"/>
      <c r="H165" s="10" t="str">
        <f t="shared" si="13"/>
        <v/>
      </c>
      <c r="I165" s="10" t="str">
        <f t="shared" si="14"/>
        <v/>
      </c>
      <c r="J165" s="10" t="str">
        <f t="shared" si="15"/>
        <v/>
      </c>
      <c r="K165" s="10" t="str">
        <f t="shared" si="16"/>
        <v/>
      </c>
      <c r="L165" s="6"/>
      <c r="M165" s="8" t="str">
        <f>IF(OR(C165="",L165=""),"",C165+L165)</f>
        <v/>
      </c>
      <c r="N165" s="11" t="str">
        <f t="shared" ca="1" si="17"/>
        <v/>
      </c>
      <c r="O165" s="7" t="str">
        <f>IF(L165="","",L165&amp;" Day Due")</f>
        <v/>
      </c>
      <c r="P165" s="10" t="str">
        <f>IF(A165="","",SUMIFS('Partial Payment Log'!$E$4:$E$501,'Partial Payment Log'!$C$4:$C$501,A165))</f>
        <v/>
      </c>
      <c r="Q165" s="10" t="str">
        <f>IF(A165="","",K165-P165)</f>
        <v/>
      </c>
      <c r="R165" s="6" t="str">
        <f>IF(A165="","",IF(Q165&lt;=0,IF(Q165&lt;0,"Overpaid","Paid"),IF(P165&gt;0,"Part Paid","Unpaid")))</f>
        <v/>
      </c>
    </row>
    <row r="166" spans="1:18" ht="15">
      <c r="A166" s="5"/>
      <c r="B166" s="5"/>
      <c r="C166" s="8"/>
      <c r="D166" s="9"/>
      <c r="E166" s="10"/>
      <c r="F166" s="10" t="str">
        <f t="shared" si="12"/>
        <v/>
      </c>
      <c r="G166" s="9"/>
      <c r="H166" s="10" t="str">
        <f t="shared" si="13"/>
        <v/>
      </c>
      <c r="I166" s="10" t="str">
        <f t="shared" si="14"/>
        <v/>
      </c>
      <c r="J166" s="10" t="str">
        <f t="shared" si="15"/>
        <v/>
      </c>
      <c r="K166" s="10" t="str">
        <f t="shared" si="16"/>
        <v/>
      </c>
      <c r="L166" s="6"/>
      <c r="M166" s="8" t="str">
        <f>IF(OR(C166="",L166=""),"",C166+L166)</f>
        <v/>
      </c>
      <c r="N166" s="11" t="str">
        <f t="shared" ca="1" si="17"/>
        <v/>
      </c>
      <c r="O166" s="7" t="str">
        <f>IF(L166="","",L166&amp;" Day Due")</f>
        <v/>
      </c>
      <c r="P166" s="10" t="str">
        <f>IF(A166="","",SUMIFS('Partial Payment Log'!$E$4:$E$501,'Partial Payment Log'!$C$4:$C$501,A166))</f>
        <v/>
      </c>
      <c r="Q166" s="10" t="str">
        <f>IF(A166="","",K166-P166)</f>
        <v/>
      </c>
      <c r="R166" s="6" t="str">
        <f>IF(A166="","",IF(Q166&lt;=0,IF(Q166&lt;0,"Overpaid","Paid"),IF(P166&gt;0,"Part Paid","Unpaid")))</f>
        <v/>
      </c>
    </row>
    <row r="167" spans="1:18" ht="15">
      <c r="A167" s="5"/>
      <c r="B167" s="5"/>
      <c r="C167" s="8"/>
      <c r="D167" s="9"/>
      <c r="E167" s="10"/>
      <c r="F167" s="10" t="str">
        <f t="shared" si="12"/>
        <v/>
      </c>
      <c r="G167" s="9"/>
      <c r="H167" s="10" t="str">
        <f t="shared" si="13"/>
        <v/>
      </c>
      <c r="I167" s="10" t="str">
        <f t="shared" si="14"/>
        <v/>
      </c>
      <c r="J167" s="10" t="str">
        <f t="shared" si="15"/>
        <v/>
      </c>
      <c r="K167" s="10" t="str">
        <f t="shared" si="16"/>
        <v/>
      </c>
      <c r="L167" s="6"/>
      <c r="M167" s="8" t="str">
        <f>IF(OR(C167="",L167=""),"",C167+L167)</f>
        <v/>
      </c>
      <c r="N167" s="11" t="str">
        <f t="shared" ca="1" si="17"/>
        <v/>
      </c>
      <c r="O167" s="7" t="str">
        <f>IF(L167="","",L167&amp;" Day Due")</f>
        <v/>
      </c>
      <c r="P167" s="10" t="str">
        <f>IF(A167="","",SUMIFS('Partial Payment Log'!$E$4:$E$501,'Partial Payment Log'!$C$4:$C$501,A167))</f>
        <v/>
      </c>
      <c r="Q167" s="10" t="str">
        <f>IF(A167="","",K167-P167)</f>
        <v/>
      </c>
      <c r="R167" s="6" t="str">
        <f>IF(A167="","",IF(Q167&lt;=0,IF(Q167&lt;0,"Overpaid","Paid"),IF(P167&gt;0,"Part Paid","Unpaid")))</f>
        <v/>
      </c>
    </row>
    <row r="168" spans="1:18" ht="15">
      <c r="A168" s="5"/>
      <c r="B168" s="5"/>
      <c r="C168" s="8"/>
      <c r="D168" s="9"/>
      <c r="E168" s="10"/>
      <c r="F168" s="10" t="str">
        <f t="shared" si="12"/>
        <v/>
      </c>
      <c r="G168" s="9"/>
      <c r="H168" s="10" t="str">
        <f t="shared" si="13"/>
        <v/>
      </c>
      <c r="I168" s="10" t="str">
        <f t="shared" si="14"/>
        <v/>
      </c>
      <c r="J168" s="10" t="str">
        <f t="shared" si="15"/>
        <v/>
      </c>
      <c r="K168" s="10" t="str">
        <f t="shared" si="16"/>
        <v/>
      </c>
      <c r="L168" s="6"/>
      <c r="M168" s="8" t="str">
        <f>IF(OR(C168="",L168=""),"",C168+L168)</f>
        <v/>
      </c>
      <c r="N168" s="11" t="str">
        <f t="shared" ca="1" si="17"/>
        <v/>
      </c>
      <c r="O168" s="7" t="str">
        <f>IF(L168="","",L168&amp;" Day Due")</f>
        <v/>
      </c>
      <c r="P168" s="10" t="str">
        <f>IF(A168="","",SUMIFS('Partial Payment Log'!$E$4:$E$501,'Partial Payment Log'!$C$4:$C$501,A168))</f>
        <v/>
      </c>
      <c r="Q168" s="10" t="str">
        <f>IF(A168="","",K168-P168)</f>
        <v/>
      </c>
      <c r="R168" s="6" t="str">
        <f>IF(A168="","",IF(Q168&lt;=0,IF(Q168&lt;0,"Overpaid","Paid"),IF(P168&gt;0,"Part Paid","Unpaid")))</f>
        <v/>
      </c>
    </row>
    <row r="169" spans="1:18" ht="15">
      <c r="A169" s="5"/>
      <c r="B169" s="5"/>
      <c r="C169" s="8"/>
      <c r="D169" s="9"/>
      <c r="E169" s="10"/>
      <c r="F169" s="10" t="str">
        <f t="shared" si="12"/>
        <v/>
      </c>
      <c r="G169" s="9"/>
      <c r="H169" s="10" t="str">
        <f t="shared" si="13"/>
        <v/>
      </c>
      <c r="I169" s="10" t="str">
        <f t="shared" si="14"/>
        <v/>
      </c>
      <c r="J169" s="10" t="str">
        <f t="shared" si="15"/>
        <v/>
      </c>
      <c r="K169" s="10" t="str">
        <f t="shared" si="16"/>
        <v/>
      </c>
      <c r="L169" s="6"/>
      <c r="M169" s="8" t="str">
        <f>IF(OR(C169="",L169=""),"",C169+L169)</f>
        <v/>
      </c>
      <c r="N169" s="11" t="str">
        <f t="shared" ca="1" si="17"/>
        <v/>
      </c>
      <c r="O169" s="7" t="str">
        <f>IF(L169="","",L169&amp;" Day Due")</f>
        <v/>
      </c>
      <c r="P169" s="10" t="str">
        <f>IF(A169="","",SUMIFS('Partial Payment Log'!$E$4:$E$501,'Partial Payment Log'!$C$4:$C$501,A169))</f>
        <v/>
      </c>
      <c r="Q169" s="10" t="str">
        <f>IF(A169="","",K169-P169)</f>
        <v/>
      </c>
      <c r="R169" s="6" t="str">
        <f>IF(A169="","",IF(Q169&lt;=0,IF(Q169&lt;0,"Overpaid","Paid"),IF(P169&gt;0,"Part Paid","Unpaid")))</f>
        <v/>
      </c>
    </row>
    <row r="170" spans="1:18" ht="15">
      <c r="A170" s="5"/>
      <c r="B170" s="5"/>
      <c r="C170" s="8"/>
      <c r="D170" s="9"/>
      <c r="E170" s="10"/>
      <c r="F170" s="10" t="str">
        <f t="shared" si="12"/>
        <v/>
      </c>
      <c r="G170" s="9"/>
      <c r="H170" s="10" t="str">
        <f t="shared" si="13"/>
        <v/>
      </c>
      <c r="I170" s="10" t="str">
        <f t="shared" si="14"/>
        <v/>
      </c>
      <c r="J170" s="10" t="str">
        <f t="shared" si="15"/>
        <v/>
      </c>
      <c r="K170" s="10" t="str">
        <f t="shared" si="16"/>
        <v/>
      </c>
      <c r="L170" s="6"/>
      <c r="M170" s="8" t="str">
        <f>IF(OR(C170="",L170=""),"",C170+L170)</f>
        <v/>
      </c>
      <c r="N170" s="11" t="str">
        <f t="shared" ca="1" si="17"/>
        <v/>
      </c>
      <c r="O170" s="7" t="str">
        <f>IF(L170="","",L170&amp;" Day Due")</f>
        <v/>
      </c>
      <c r="P170" s="10" t="str">
        <f>IF(A170="","",SUMIFS('Partial Payment Log'!$E$4:$E$501,'Partial Payment Log'!$C$4:$C$501,A170))</f>
        <v/>
      </c>
      <c r="Q170" s="10" t="str">
        <f>IF(A170="","",K170-P170)</f>
        <v/>
      </c>
      <c r="R170" s="6" t="str">
        <f>IF(A170="","",IF(Q170&lt;=0,IF(Q170&lt;0,"Overpaid","Paid"),IF(P170&gt;0,"Part Paid","Unpaid")))</f>
        <v/>
      </c>
    </row>
    <row r="171" spans="1:18" ht="15">
      <c r="A171" s="5"/>
      <c r="B171" s="5"/>
      <c r="C171" s="8"/>
      <c r="D171" s="9"/>
      <c r="E171" s="10"/>
      <c r="F171" s="10" t="str">
        <f t="shared" si="12"/>
        <v/>
      </c>
      <c r="G171" s="9"/>
      <c r="H171" s="10" t="str">
        <f t="shared" si="13"/>
        <v/>
      </c>
      <c r="I171" s="10" t="str">
        <f t="shared" si="14"/>
        <v/>
      </c>
      <c r="J171" s="10" t="str">
        <f t="shared" si="15"/>
        <v/>
      </c>
      <c r="K171" s="10" t="str">
        <f t="shared" si="16"/>
        <v/>
      </c>
      <c r="L171" s="6"/>
      <c r="M171" s="8" t="str">
        <f>IF(OR(C171="",L171=""),"",C171+L171)</f>
        <v/>
      </c>
      <c r="N171" s="11" t="str">
        <f t="shared" ca="1" si="17"/>
        <v/>
      </c>
      <c r="O171" s="7" t="str">
        <f>IF(L171="","",L171&amp;" Day Due")</f>
        <v/>
      </c>
      <c r="P171" s="10" t="str">
        <f>IF(A171="","",SUMIFS('Partial Payment Log'!$E$4:$E$501,'Partial Payment Log'!$C$4:$C$501,A171))</f>
        <v/>
      </c>
      <c r="Q171" s="10" t="str">
        <f>IF(A171="","",K171-P171)</f>
        <v/>
      </c>
      <c r="R171" s="6" t="str">
        <f>IF(A171="","",IF(Q171&lt;=0,IF(Q171&lt;0,"Overpaid","Paid"),IF(P171&gt;0,"Part Paid","Unpaid")))</f>
        <v/>
      </c>
    </row>
    <row r="172" spans="1:18" ht="15">
      <c r="A172" s="5"/>
      <c r="B172" s="5"/>
      <c r="C172" s="8"/>
      <c r="D172" s="9"/>
      <c r="E172" s="10"/>
      <c r="F172" s="10" t="str">
        <f t="shared" si="12"/>
        <v/>
      </c>
      <c r="G172" s="9"/>
      <c r="H172" s="10" t="str">
        <f t="shared" si="13"/>
        <v/>
      </c>
      <c r="I172" s="10" t="str">
        <f t="shared" si="14"/>
        <v/>
      </c>
      <c r="J172" s="10" t="str">
        <f t="shared" si="15"/>
        <v/>
      </c>
      <c r="K172" s="10" t="str">
        <f t="shared" si="16"/>
        <v/>
      </c>
      <c r="L172" s="6"/>
      <c r="M172" s="8" t="str">
        <f>IF(OR(C172="",L172=""),"",C172+L172)</f>
        <v/>
      </c>
      <c r="N172" s="11" t="str">
        <f t="shared" ca="1" si="17"/>
        <v/>
      </c>
      <c r="O172" s="7" t="str">
        <f>IF(L172="","",L172&amp;" Day Due")</f>
        <v/>
      </c>
      <c r="P172" s="10" t="str">
        <f>IF(A172="","",SUMIFS('Partial Payment Log'!$E$4:$E$501,'Partial Payment Log'!$C$4:$C$501,A172))</f>
        <v/>
      </c>
      <c r="Q172" s="10" t="str">
        <f>IF(A172="","",K172-P172)</f>
        <v/>
      </c>
      <c r="R172" s="6" t="str">
        <f>IF(A172="","",IF(Q172&lt;=0,IF(Q172&lt;0,"Overpaid","Paid"),IF(P172&gt;0,"Part Paid","Unpaid")))</f>
        <v/>
      </c>
    </row>
    <row r="173" spans="1:18" ht="15">
      <c r="A173" s="5"/>
      <c r="B173" s="5"/>
      <c r="C173" s="8"/>
      <c r="D173" s="9"/>
      <c r="E173" s="10"/>
      <c r="F173" s="10" t="str">
        <f t="shared" si="12"/>
        <v/>
      </c>
      <c r="G173" s="9"/>
      <c r="H173" s="10" t="str">
        <f t="shared" si="13"/>
        <v/>
      </c>
      <c r="I173" s="10" t="str">
        <f t="shared" si="14"/>
        <v/>
      </c>
      <c r="J173" s="10" t="str">
        <f t="shared" si="15"/>
        <v/>
      </c>
      <c r="K173" s="10" t="str">
        <f t="shared" si="16"/>
        <v/>
      </c>
      <c r="L173" s="6"/>
      <c r="M173" s="8" t="str">
        <f>IF(OR(C173="",L173=""),"",C173+L173)</f>
        <v/>
      </c>
      <c r="N173" s="11" t="str">
        <f t="shared" ca="1" si="17"/>
        <v/>
      </c>
      <c r="O173" s="7" t="str">
        <f>IF(L173="","",L173&amp;" Day Due")</f>
        <v/>
      </c>
      <c r="P173" s="10" t="str">
        <f>IF(A173="","",SUMIFS('Partial Payment Log'!$E$4:$E$501,'Partial Payment Log'!$C$4:$C$501,A173))</f>
        <v/>
      </c>
      <c r="Q173" s="10" t="str">
        <f>IF(A173="","",K173-P173)</f>
        <v/>
      </c>
      <c r="R173" s="6" t="str">
        <f>IF(A173="","",IF(Q173&lt;=0,IF(Q173&lt;0,"Overpaid","Paid"),IF(P173&gt;0,"Part Paid","Unpaid")))</f>
        <v/>
      </c>
    </row>
    <row r="174" spans="1:18" ht="15">
      <c r="A174" s="5"/>
      <c r="B174" s="5"/>
      <c r="C174" s="8"/>
      <c r="D174" s="9"/>
      <c r="E174" s="10"/>
      <c r="F174" s="10" t="str">
        <f t="shared" si="12"/>
        <v/>
      </c>
      <c r="G174" s="9"/>
      <c r="H174" s="10" t="str">
        <f t="shared" si="13"/>
        <v/>
      </c>
      <c r="I174" s="10" t="str">
        <f t="shared" si="14"/>
        <v/>
      </c>
      <c r="J174" s="10" t="str">
        <f t="shared" si="15"/>
        <v/>
      </c>
      <c r="K174" s="10" t="str">
        <f t="shared" si="16"/>
        <v/>
      </c>
      <c r="L174" s="6"/>
      <c r="M174" s="8" t="str">
        <f>IF(OR(C174="",L174=""),"",C174+L174)</f>
        <v/>
      </c>
      <c r="N174" s="11" t="str">
        <f t="shared" ca="1" si="17"/>
        <v/>
      </c>
      <c r="O174" s="7" t="str">
        <f>IF(L174="","",L174&amp;" Day Due")</f>
        <v/>
      </c>
      <c r="P174" s="10" t="str">
        <f>IF(A174="","",SUMIFS('Partial Payment Log'!$E$4:$E$501,'Partial Payment Log'!$C$4:$C$501,A174))</f>
        <v/>
      </c>
      <c r="Q174" s="10" t="str">
        <f>IF(A174="","",K174-P174)</f>
        <v/>
      </c>
      <c r="R174" s="6" t="str">
        <f>IF(A174="","",IF(Q174&lt;=0,IF(Q174&lt;0,"Overpaid","Paid"),IF(P174&gt;0,"Part Paid","Unpaid")))</f>
        <v/>
      </c>
    </row>
    <row r="175" spans="1:18" ht="15">
      <c r="A175" s="5"/>
      <c r="B175" s="5"/>
      <c r="C175" s="8"/>
      <c r="D175" s="9"/>
      <c r="E175" s="10"/>
      <c r="F175" s="10" t="str">
        <f t="shared" si="12"/>
        <v/>
      </c>
      <c r="G175" s="9"/>
      <c r="H175" s="10" t="str">
        <f t="shared" si="13"/>
        <v/>
      </c>
      <c r="I175" s="10" t="str">
        <f t="shared" si="14"/>
        <v/>
      </c>
      <c r="J175" s="10" t="str">
        <f t="shared" si="15"/>
        <v/>
      </c>
      <c r="K175" s="10" t="str">
        <f t="shared" si="16"/>
        <v/>
      </c>
      <c r="L175" s="6"/>
      <c r="M175" s="8" t="str">
        <f>IF(OR(C175="",L175=""),"",C175+L175)</f>
        <v/>
      </c>
      <c r="N175" s="11" t="str">
        <f t="shared" ca="1" si="17"/>
        <v/>
      </c>
      <c r="O175" s="7" t="str">
        <f>IF(L175="","",L175&amp;" Day Due")</f>
        <v/>
      </c>
      <c r="P175" s="10" t="str">
        <f>IF(A175="","",SUMIFS('Partial Payment Log'!$E$4:$E$501,'Partial Payment Log'!$C$4:$C$501,A175))</f>
        <v/>
      </c>
      <c r="Q175" s="10" t="str">
        <f>IF(A175="","",K175-P175)</f>
        <v/>
      </c>
      <c r="R175" s="6" t="str">
        <f>IF(A175="","",IF(Q175&lt;=0,IF(Q175&lt;0,"Overpaid","Paid"),IF(P175&gt;0,"Part Paid","Unpaid")))</f>
        <v/>
      </c>
    </row>
    <row r="176" spans="1:18" ht="15">
      <c r="A176" s="5"/>
      <c r="B176" s="5"/>
      <c r="C176" s="8"/>
      <c r="D176" s="9"/>
      <c r="E176" s="10"/>
      <c r="F176" s="10" t="str">
        <f t="shared" si="12"/>
        <v/>
      </c>
      <c r="G176" s="9"/>
      <c r="H176" s="10" t="str">
        <f t="shared" si="13"/>
        <v/>
      </c>
      <c r="I176" s="10" t="str">
        <f t="shared" si="14"/>
        <v/>
      </c>
      <c r="J176" s="10" t="str">
        <f t="shared" si="15"/>
        <v/>
      </c>
      <c r="K176" s="10" t="str">
        <f t="shared" si="16"/>
        <v/>
      </c>
      <c r="L176" s="6"/>
      <c r="M176" s="8" t="str">
        <f>IF(OR(C176="",L176=""),"",C176+L176)</f>
        <v/>
      </c>
      <c r="N176" s="11" t="str">
        <f t="shared" ca="1" si="17"/>
        <v/>
      </c>
      <c r="O176" s="7" t="str">
        <f>IF(L176="","",L176&amp;" Day Due")</f>
        <v/>
      </c>
      <c r="P176" s="10" t="str">
        <f>IF(A176="","",SUMIFS('Partial Payment Log'!$E$4:$E$501,'Partial Payment Log'!$C$4:$C$501,A176))</f>
        <v/>
      </c>
      <c r="Q176" s="10" t="str">
        <f>IF(A176="","",K176-P176)</f>
        <v/>
      </c>
      <c r="R176" s="6" t="str">
        <f>IF(A176="","",IF(Q176&lt;=0,IF(Q176&lt;0,"Overpaid","Paid"),IF(P176&gt;0,"Part Paid","Unpaid")))</f>
        <v/>
      </c>
    </row>
    <row r="177" spans="1:18" ht="15">
      <c r="A177" s="5"/>
      <c r="B177" s="5"/>
      <c r="C177" s="8"/>
      <c r="D177" s="9"/>
      <c r="E177" s="10"/>
      <c r="F177" s="10" t="str">
        <f t="shared" si="12"/>
        <v/>
      </c>
      <c r="G177" s="9"/>
      <c r="H177" s="10" t="str">
        <f t="shared" si="13"/>
        <v/>
      </c>
      <c r="I177" s="10" t="str">
        <f t="shared" si="14"/>
        <v/>
      </c>
      <c r="J177" s="10" t="str">
        <f t="shared" si="15"/>
        <v/>
      </c>
      <c r="K177" s="10" t="str">
        <f t="shared" si="16"/>
        <v/>
      </c>
      <c r="L177" s="6"/>
      <c r="M177" s="8" t="str">
        <f>IF(OR(C177="",L177=""),"",C177+L177)</f>
        <v/>
      </c>
      <c r="N177" s="11" t="str">
        <f t="shared" ca="1" si="17"/>
        <v/>
      </c>
      <c r="O177" s="7" t="str">
        <f>IF(L177="","",L177&amp;" Day Due")</f>
        <v/>
      </c>
      <c r="P177" s="10" t="str">
        <f>IF(A177="","",SUMIFS('Partial Payment Log'!$E$4:$E$501,'Partial Payment Log'!$C$4:$C$501,A177))</f>
        <v/>
      </c>
      <c r="Q177" s="10" t="str">
        <f>IF(A177="","",K177-P177)</f>
        <v/>
      </c>
      <c r="R177" s="6" t="str">
        <f>IF(A177="","",IF(Q177&lt;=0,IF(Q177&lt;0,"Overpaid","Paid"),IF(P177&gt;0,"Part Paid","Unpaid")))</f>
        <v/>
      </c>
    </row>
    <row r="178" spans="1:18" ht="15">
      <c r="A178" s="5"/>
      <c r="B178" s="5"/>
      <c r="C178" s="8"/>
      <c r="D178" s="9"/>
      <c r="E178" s="10"/>
      <c r="F178" s="10" t="str">
        <f t="shared" si="12"/>
        <v/>
      </c>
      <c r="G178" s="9"/>
      <c r="H178" s="10" t="str">
        <f t="shared" si="13"/>
        <v/>
      </c>
      <c r="I178" s="10" t="str">
        <f t="shared" si="14"/>
        <v/>
      </c>
      <c r="J178" s="10" t="str">
        <f t="shared" si="15"/>
        <v/>
      </c>
      <c r="K178" s="10" t="str">
        <f t="shared" si="16"/>
        <v/>
      </c>
      <c r="L178" s="6"/>
      <c r="M178" s="8" t="str">
        <f>IF(OR(C178="",L178=""),"",C178+L178)</f>
        <v/>
      </c>
      <c r="N178" s="11" t="str">
        <f t="shared" ca="1" si="17"/>
        <v/>
      </c>
      <c r="O178" s="7" t="str">
        <f>IF(L178="","",L178&amp;" Day Due")</f>
        <v/>
      </c>
      <c r="P178" s="10" t="str">
        <f>IF(A178="","",SUMIFS('Partial Payment Log'!$E$4:$E$501,'Partial Payment Log'!$C$4:$C$501,A178))</f>
        <v/>
      </c>
      <c r="Q178" s="10" t="str">
        <f>IF(A178="","",K178-P178)</f>
        <v/>
      </c>
      <c r="R178" s="6" t="str">
        <f>IF(A178="","",IF(Q178&lt;=0,IF(Q178&lt;0,"Overpaid","Paid"),IF(P178&gt;0,"Part Paid","Unpaid")))</f>
        <v/>
      </c>
    </row>
    <row r="179" spans="1:18" ht="15">
      <c r="A179" s="5"/>
      <c r="B179" s="5"/>
      <c r="C179" s="8"/>
      <c r="D179" s="9"/>
      <c r="E179" s="10"/>
      <c r="F179" s="10" t="str">
        <f t="shared" si="12"/>
        <v/>
      </c>
      <c r="G179" s="9"/>
      <c r="H179" s="10" t="str">
        <f t="shared" si="13"/>
        <v/>
      </c>
      <c r="I179" s="10" t="str">
        <f t="shared" si="14"/>
        <v/>
      </c>
      <c r="J179" s="10" t="str">
        <f t="shared" si="15"/>
        <v/>
      </c>
      <c r="K179" s="10" t="str">
        <f t="shared" si="16"/>
        <v/>
      </c>
      <c r="L179" s="6"/>
      <c r="M179" s="8" t="str">
        <f>IF(OR(C179="",L179=""),"",C179+L179)</f>
        <v/>
      </c>
      <c r="N179" s="11" t="str">
        <f t="shared" ca="1" si="17"/>
        <v/>
      </c>
      <c r="O179" s="7" t="str">
        <f>IF(L179="","",L179&amp;" Day Due")</f>
        <v/>
      </c>
      <c r="P179" s="10" t="str">
        <f>IF(A179="","",SUMIFS('Partial Payment Log'!$E$4:$E$501,'Partial Payment Log'!$C$4:$C$501,A179))</f>
        <v/>
      </c>
      <c r="Q179" s="10" t="str">
        <f>IF(A179="","",K179-P179)</f>
        <v/>
      </c>
      <c r="R179" s="6" t="str">
        <f>IF(A179="","",IF(Q179&lt;=0,IF(Q179&lt;0,"Overpaid","Paid"),IF(P179&gt;0,"Part Paid","Unpaid")))</f>
        <v/>
      </c>
    </row>
    <row r="180" spans="1:18" ht="15">
      <c r="A180" s="5"/>
      <c r="B180" s="5"/>
      <c r="C180" s="8"/>
      <c r="D180" s="9"/>
      <c r="E180" s="10"/>
      <c r="F180" s="10" t="str">
        <f t="shared" si="12"/>
        <v/>
      </c>
      <c r="G180" s="9"/>
      <c r="H180" s="10" t="str">
        <f t="shared" si="13"/>
        <v/>
      </c>
      <c r="I180" s="10" t="str">
        <f t="shared" si="14"/>
        <v/>
      </c>
      <c r="J180" s="10" t="str">
        <f t="shared" si="15"/>
        <v/>
      </c>
      <c r="K180" s="10" t="str">
        <f t="shared" si="16"/>
        <v/>
      </c>
      <c r="L180" s="6"/>
      <c r="M180" s="8" t="str">
        <f>IF(OR(C180="",L180=""),"",C180+L180)</f>
        <v/>
      </c>
      <c r="N180" s="11" t="str">
        <f t="shared" ca="1" si="17"/>
        <v/>
      </c>
      <c r="O180" s="7" t="str">
        <f>IF(L180="","",L180&amp;" Day Due")</f>
        <v/>
      </c>
      <c r="P180" s="10" t="str">
        <f>IF(A180="","",SUMIFS('Partial Payment Log'!$E$4:$E$501,'Partial Payment Log'!$C$4:$C$501,A180))</f>
        <v/>
      </c>
      <c r="Q180" s="10" t="str">
        <f>IF(A180="","",K180-P180)</f>
        <v/>
      </c>
      <c r="R180" s="6" t="str">
        <f>IF(A180="","",IF(Q180&lt;=0,IF(Q180&lt;0,"Overpaid","Paid"),IF(P180&gt;0,"Part Paid","Unpaid")))</f>
        <v/>
      </c>
    </row>
    <row r="181" spans="1:18" ht="15">
      <c r="A181" s="5"/>
      <c r="B181" s="5"/>
      <c r="C181" s="8"/>
      <c r="D181" s="9"/>
      <c r="E181" s="10"/>
      <c r="F181" s="10" t="str">
        <f t="shared" si="12"/>
        <v/>
      </c>
      <c r="G181" s="9"/>
      <c r="H181" s="10" t="str">
        <f t="shared" si="13"/>
        <v/>
      </c>
      <c r="I181" s="10" t="str">
        <f t="shared" si="14"/>
        <v/>
      </c>
      <c r="J181" s="10" t="str">
        <f t="shared" si="15"/>
        <v/>
      </c>
      <c r="K181" s="10" t="str">
        <f t="shared" si="16"/>
        <v/>
      </c>
      <c r="L181" s="6"/>
      <c r="M181" s="8" t="str">
        <f>IF(OR(C181="",L181=""),"",C181+L181)</f>
        <v/>
      </c>
      <c r="N181" s="11" t="str">
        <f t="shared" ca="1" si="17"/>
        <v/>
      </c>
      <c r="O181" s="7" t="str">
        <f>IF(L181="","",L181&amp;" Day Due")</f>
        <v/>
      </c>
      <c r="P181" s="10" t="str">
        <f>IF(A181="","",SUMIFS('Partial Payment Log'!$E$4:$E$501,'Partial Payment Log'!$C$4:$C$501,A181))</f>
        <v/>
      </c>
      <c r="Q181" s="10" t="str">
        <f>IF(A181="","",K181-P181)</f>
        <v/>
      </c>
      <c r="R181" s="6" t="str">
        <f>IF(A181="","",IF(Q181&lt;=0,IF(Q181&lt;0,"Overpaid","Paid"),IF(P181&gt;0,"Part Paid","Unpaid")))</f>
        <v/>
      </c>
    </row>
    <row r="182" spans="1:18" ht="15">
      <c r="A182" s="5"/>
      <c r="B182" s="5"/>
      <c r="C182" s="8"/>
      <c r="D182" s="9"/>
      <c r="E182" s="10"/>
      <c r="F182" s="10" t="str">
        <f t="shared" si="12"/>
        <v/>
      </c>
      <c r="G182" s="9"/>
      <c r="H182" s="10" t="str">
        <f t="shared" si="13"/>
        <v/>
      </c>
      <c r="I182" s="10" t="str">
        <f t="shared" si="14"/>
        <v/>
      </c>
      <c r="J182" s="10" t="str">
        <f t="shared" si="15"/>
        <v/>
      </c>
      <c r="K182" s="10" t="str">
        <f t="shared" si="16"/>
        <v/>
      </c>
      <c r="L182" s="6"/>
      <c r="M182" s="8" t="str">
        <f>IF(OR(C182="",L182=""),"",C182+L182)</f>
        <v/>
      </c>
      <c r="N182" s="11" t="str">
        <f t="shared" ca="1" si="17"/>
        <v/>
      </c>
      <c r="O182" s="7" t="str">
        <f>IF(L182="","",L182&amp;" Day Due")</f>
        <v/>
      </c>
      <c r="P182" s="10" t="str">
        <f>IF(A182="","",SUMIFS('Partial Payment Log'!$E$4:$E$501,'Partial Payment Log'!$C$4:$C$501,A182))</f>
        <v/>
      </c>
      <c r="Q182" s="10" t="str">
        <f>IF(A182="","",K182-P182)</f>
        <v/>
      </c>
      <c r="R182" s="6" t="str">
        <f>IF(A182="","",IF(Q182&lt;=0,IF(Q182&lt;0,"Overpaid","Paid"),IF(P182&gt;0,"Part Paid","Unpaid")))</f>
        <v/>
      </c>
    </row>
    <row r="183" spans="1:18" ht="15">
      <c r="A183" s="5"/>
      <c r="B183" s="5"/>
      <c r="C183" s="8"/>
      <c r="D183" s="9"/>
      <c r="E183" s="10"/>
      <c r="F183" s="10" t="str">
        <f t="shared" si="12"/>
        <v/>
      </c>
      <c r="G183" s="9"/>
      <c r="H183" s="10" t="str">
        <f t="shared" si="13"/>
        <v/>
      </c>
      <c r="I183" s="10" t="str">
        <f t="shared" si="14"/>
        <v/>
      </c>
      <c r="J183" s="10" t="str">
        <f t="shared" si="15"/>
        <v/>
      </c>
      <c r="K183" s="10" t="str">
        <f t="shared" si="16"/>
        <v/>
      </c>
      <c r="L183" s="6"/>
      <c r="M183" s="8" t="str">
        <f>IF(OR(C183="",L183=""),"",C183+L183)</f>
        <v/>
      </c>
      <c r="N183" s="11" t="str">
        <f t="shared" ca="1" si="17"/>
        <v/>
      </c>
      <c r="O183" s="7" t="str">
        <f>IF(L183="","",L183&amp;" Day Due")</f>
        <v/>
      </c>
      <c r="P183" s="10" t="str">
        <f>IF(A183="","",SUMIFS('Partial Payment Log'!$E$4:$E$501,'Partial Payment Log'!$C$4:$C$501,A183))</f>
        <v/>
      </c>
      <c r="Q183" s="10" t="str">
        <f>IF(A183="","",K183-P183)</f>
        <v/>
      </c>
      <c r="R183" s="6" t="str">
        <f>IF(A183="","",IF(Q183&lt;=0,IF(Q183&lt;0,"Overpaid","Paid"),IF(P183&gt;0,"Part Paid","Unpaid")))</f>
        <v/>
      </c>
    </row>
    <row r="184" spans="1:18" ht="15">
      <c r="A184" s="5"/>
      <c r="B184" s="5"/>
      <c r="C184" s="8"/>
      <c r="D184" s="9"/>
      <c r="E184" s="10"/>
      <c r="F184" s="10" t="str">
        <f t="shared" si="12"/>
        <v/>
      </c>
      <c r="G184" s="9"/>
      <c r="H184" s="10" t="str">
        <f t="shared" si="13"/>
        <v/>
      </c>
      <c r="I184" s="10" t="str">
        <f t="shared" si="14"/>
        <v/>
      </c>
      <c r="J184" s="10" t="str">
        <f t="shared" si="15"/>
        <v/>
      </c>
      <c r="K184" s="10" t="str">
        <f t="shared" si="16"/>
        <v/>
      </c>
      <c r="L184" s="6"/>
      <c r="M184" s="8" t="str">
        <f>IF(OR(C184="",L184=""),"",C184+L184)</f>
        <v/>
      </c>
      <c r="N184" s="11" t="str">
        <f t="shared" ca="1" si="17"/>
        <v/>
      </c>
      <c r="O184" s="7" t="str">
        <f>IF(L184="","",L184&amp;" Day Due")</f>
        <v/>
      </c>
      <c r="P184" s="10" t="str">
        <f>IF(A184="","",SUMIFS('Partial Payment Log'!$E$4:$E$501,'Partial Payment Log'!$C$4:$C$501,A184))</f>
        <v/>
      </c>
      <c r="Q184" s="10" t="str">
        <f>IF(A184="","",K184-P184)</f>
        <v/>
      </c>
      <c r="R184" s="6" t="str">
        <f>IF(A184="","",IF(Q184&lt;=0,IF(Q184&lt;0,"Overpaid","Paid"),IF(P184&gt;0,"Part Paid","Unpaid")))</f>
        <v/>
      </c>
    </row>
    <row r="185" spans="1:18" ht="15">
      <c r="A185" s="5"/>
      <c r="B185" s="5"/>
      <c r="C185" s="8"/>
      <c r="D185" s="9"/>
      <c r="E185" s="10"/>
      <c r="F185" s="10" t="str">
        <f t="shared" si="12"/>
        <v/>
      </c>
      <c r="G185" s="9"/>
      <c r="H185" s="10" t="str">
        <f t="shared" si="13"/>
        <v/>
      </c>
      <c r="I185" s="10" t="str">
        <f t="shared" si="14"/>
        <v/>
      </c>
      <c r="J185" s="10" t="str">
        <f t="shared" si="15"/>
        <v/>
      </c>
      <c r="K185" s="10" t="str">
        <f t="shared" si="16"/>
        <v/>
      </c>
      <c r="L185" s="6"/>
      <c r="M185" s="8" t="str">
        <f>IF(OR(C185="",L185=""),"",C185+L185)</f>
        <v/>
      </c>
      <c r="N185" s="11" t="str">
        <f t="shared" ca="1" si="17"/>
        <v/>
      </c>
      <c r="O185" s="7" t="str">
        <f>IF(L185="","",L185&amp;" Day Due")</f>
        <v/>
      </c>
      <c r="P185" s="10" t="str">
        <f>IF(A185="","",SUMIFS('Partial Payment Log'!$E$4:$E$501,'Partial Payment Log'!$C$4:$C$501,A185))</f>
        <v/>
      </c>
      <c r="Q185" s="10" t="str">
        <f>IF(A185="","",K185-P185)</f>
        <v/>
      </c>
      <c r="R185" s="6" t="str">
        <f>IF(A185="","",IF(Q185&lt;=0,IF(Q185&lt;0,"Overpaid","Paid"),IF(P185&gt;0,"Part Paid","Unpaid")))</f>
        <v/>
      </c>
    </row>
    <row r="186" spans="1:18" ht="15">
      <c r="A186" s="5"/>
      <c r="B186" s="5"/>
      <c r="C186" s="8"/>
      <c r="D186" s="9"/>
      <c r="E186" s="10"/>
      <c r="F186" s="10" t="str">
        <f t="shared" si="12"/>
        <v/>
      </c>
      <c r="G186" s="9"/>
      <c r="H186" s="10" t="str">
        <f t="shared" si="13"/>
        <v/>
      </c>
      <c r="I186" s="10" t="str">
        <f t="shared" si="14"/>
        <v/>
      </c>
      <c r="J186" s="10" t="str">
        <f t="shared" si="15"/>
        <v/>
      </c>
      <c r="K186" s="10" t="str">
        <f t="shared" si="16"/>
        <v/>
      </c>
      <c r="L186" s="6"/>
      <c r="M186" s="8" t="str">
        <f>IF(OR(C186="",L186=""),"",C186+L186)</f>
        <v/>
      </c>
      <c r="N186" s="11" t="str">
        <f t="shared" ca="1" si="17"/>
        <v/>
      </c>
      <c r="O186" s="7" t="str">
        <f>IF(L186="","",L186&amp;" Day Due")</f>
        <v/>
      </c>
      <c r="P186" s="10" t="str">
        <f>IF(A186="","",SUMIFS('Partial Payment Log'!$E$4:$E$501,'Partial Payment Log'!$C$4:$C$501,A186))</f>
        <v/>
      </c>
      <c r="Q186" s="10" t="str">
        <f>IF(A186="","",K186-P186)</f>
        <v/>
      </c>
      <c r="R186" s="6" t="str">
        <f>IF(A186="","",IF(Q186&lt;=0,IF(Q186&lt;0,"Overpaid","Paid"),IF(P186&gt;0,"Part Paid","Unpaid")))</f>
        <v/>
      </c>
    </row>
    <row r="187" spans="1:18" ht="15">
      <c r="A187" s="5"/>
      <c r="B187" s="5"/>
      <c r="C187" s="8"/>
      <c r="D187" s="9"/>
      <c r="E187" s="10"/>
      <c r="F187" s="10" t="str">
        <f t="shared" si="12"/>
        <v/>
      </c>
      <c r="G187" s="9"/>
      <c r="H187" s="10" t="str">
        <f t="shared" si="13"/>
        <v/>
      </c>
      <c r="I187" s="10" t="str">
        <f t="shared" si="14"/>
        <v/>
      </c>
      <c r="J187" s="10" t="str">
        <f t="shared" si="15"/>
        <v/>
      </c>
      <c r="K187" s="10" t="str">
        <f t="shared" si="16"/>
        <v/>
      </c>
      <c r="L187" s="6"/>
      <c r="M187" s="8" t="str">
        <f>IF(OR(C187="",L187=""),"",C187+L187)</f>
        <v/>
      </c>
      <c r="N187" s="11" t="str">
        <f t="shared" ca="1" si="17"/>
        <v/>
      </c>
      <c r="O187" s="7" t="str">
        <f>IF(L187="","",L187&amp;" Day Due")</f>
        <v/>
      </c>
      <c r="P187" s="10" t="str">
        <f>IF(A187="","",SUMIFS('Partial Payment Log'!$E$4:$E$501,'Partial Payment Log'!$C$4:$C$501,A187))</f>
        <v/>
      </c>
      <c r="Q187" s="10" t="str">
        <f>IF(A187="","",K187-P187)</f>
        <v/>
      </c>
      <c r="R187" s="6" t="str">
        <f>IF(A187="","",IF(Q187&lt;=0,IF(Q187&lt;0,"Overpaid","Paid"),IF(P187&gt;0,"Part Paid","Unpaid")))</f>
        <v/>
      </c>
    </row>
    <row r="188" spans="1:18" ht="15">
      <c r="A188" s="5"/>
      <c r="B188" s="5"/>
      <c r="C188" s="8"/>
      <c r="D188" s="9"/>
      <c r="E188" s="10"/>
      <c r="F188" s="10" t="str">
        <f t="shared" si="12"/>
        <v/>
      </c>
      <c r="G188" s="9"/>
      <c r="H188" s="10" t="str">
        <f t="shared" si="13"/>
        <v/>
      </c>
      <c r="I188" s="10" t="str">
        <f t="shared" si="14"/>
        <v/>
      </c>
      <c r="J188" s="10" t="str">
        <f t="shared" si="15"/>
        <v/>
      </c>
      <c r="K188" s="10" t="str">
        <f t="shared" si="16"/>
        <v/>
      </c>
      <c r="L188" s="6"/>
      <c r="M188" s="8" t="str">
        <f>IF(OR(C188="",L188=""),"",C188+L188)</f>
        <v/>
      </c>
      <c r="N188" s="11" t="str">
        <f t="shared" ca="1" si="17"/>
        <v/>
      </c>
      <c r="O188" s="7" t="str">
        <f>IF(L188="","",L188&amp;" Day Due")</f>
        <v/>
      </c>
      <c r="P188" s="10" t="str">
        <f>IF(A188="","",SUMIFS('Partial Payment Log'!$E$4:$E$501,'Partial Payment Log'!$C$4:$C$501,A188))</f>
        <v/>
      </c>
      <c r="Q188" s="10" t="str">
        <f>IF(A188="","",K188-P188)</f>
        <v/>
      </c>
      <c r="R188" s="6" t="str">
        <f>IF(A188="","",IF(Q188&lt;=0,IF(Q188&lt;0,"Overpaid","Paid"),IF(P188&gt;0,"Part Paid","Unpaid")))</f>
        <v/>
      </c>
    </row>
    <row r="189" spans="1:18" ht="15">
      <c r="A189" s="5"/>
      <c r="B189" s="5"/>
      <c r="C189" s="8"/>
      <c r="D189" s="9"/>
      <c r="E189" s="10"/>
      <c r="F189" s="10" t="str">
        <f t="shared" si="12"/>
        <v/>
      </c>
      <c r="G189" s="9"/>
      <c r="H189" s="10" t="str">
        <f t="shared" si="13"/>
        <v/>
      </c>
      <c r="I189" s="10" t="str">
        <f t="shared" si="14"/>
        <v/>
      </c>
      <c r="J189" s="10" t="str">
        <f t="shared" si="15"/>
        <v/>
      </c>
      <c r="K189" s="10" t="str">
        <f t="shared" si="16"/>
        <v/>
      </c>
      <c r="L189" s="6"/>
      <c r="M189" s="8" t="str">
        <f>IF(OR(C189="",L189=""),"",C189+L189)</f>
        <v/>
      </c>
      <c r="N189" s="11" t="str">
        <f t="shared" ca="1" si="17"/>
        <v/>
      </c>
      <c r="O189" s="7" t="str">
        <f>IF(L189="","",L189&amp;" Day Due")</f>
        <v/>
      </c>
      <c r="P189" s="10" t="str">
        <f>IF(A189="","",SUMIFS('Partial Payment Log'!$E$4:$E$501,'Partial Payment Log'!$C$4:$C$501,A189))</f>
        <v/>
      </c>
      <c r="Q189" s="10" t="str">
        <f>IF(A189="","",K189-P189)</f>
        <v/>
      </c>
      <c r="R189" s="6" t="str">
        <f>IF(A189="","",IF(Q189&lt;=0,IF(Q189&lt;0,"Overpaid","Paid"),IF(P189&gt;0,"Part Paid","Unpaid")))</f>
        <v/>
      </c>
    </row>
    <row r="190" spans="1:18" ht="15">
      <c r="A190" s="5"/>
      <c r="B190" s="5"/>
      <c r="C190" s="8"/>
      <c r="D190" s="9"/>
      <c r="E190" s="10"/>
      <c r="F190" s="10" t="str">
        <f t="shared" si="12"/>
        <v/>
      </c>
      <c r="G190" s="9"/>
      <c r="H190" s="10" t="str">
        <f t="shared" si="13"/>
        <v/>
      </c>
      <c r="I190" s="10" t="str">
        <f t="shared" si="14"/>
        <v/>
      </c>
      <c r="J190" s="10" t="str">
        <f t="shared" si="15"/>
        <v/>
      </c>
      <c r="K190" s="10" t="str">
        <f t="shared" si="16"/>
        <v/>
      </c>
      <c r="L190" s="6"/>
      <c r="M190" s="8" t="str">
        <f>IF(OR(C190="",L190=""),"",C190+L190)</f>
        <v/>
      </c>
      <c r="N190" s="11" t="str">
        <f t="shared" ca="1" si="17"/>
        <v/>
      </c>
      <c r="O190" s="7" t="str">
        <f>IF(L190="","",L190&amp;" Day Due")</f>
        <v/>
      </c>
      <c r="P190" s="10" t="str">
        <f>IF(A190="","",SUMIFS('Partial Payment Log'!$E$4:$E$501,'Partial Payment Log'!$C$4:$C$501,A190))</f>
        <v/>
      </c>
      <c r="Q190" s="10" t="str">
        <f>IF(A190="","",K190-P190)</f>
        <v/>
      </c>
      <c r="R190" s="6" t="str">
        <f>IF(A190="","",IF(Q190&lt;=0,IF(Q190&lt;0,"Overpaid","Paid"),IF(P190&gt;0,"Part Paid","Unpaid")))</f>
        <v/>
      </c>
    </row>
    <row r="191" spans="1:18" ht="15">
      <c r="A191" s="5"/>
      <c r="B191" s="5"/>
      <c r="C191" s="8"/>
      <c r="D191" s="9"/>
      <c r="E191" s="10"/>
      <c r="F191" s="10" t="str">
        <f t="shared" si="12"/>
        <v/>
      </c>
      <c r="G191" s="9"/>
      <c r="H191" s="10" t="str">
        <f t="shared" si="13"/>
        <v/>
      </c>
      <c r="I191" s="10" t="str">
        <f t="shared" si="14"/>
        <v/>
      </c>
      <c r="J191" s="10" t="str">
        <f t="shared" si="15"/>
        <v/>
      </c>
      <c r="K191" s="10" t="str">
        <f t="shared" si="16"/>
        <v/>
      </c>
      <c r="L191" s="6"/>
      <c r="M191" s="8" t="str">
        <f>IF(OR(C191="",L191=""),"",C191+L191)</f>
        <v/>
      </c>
      <c r="N191" s="11" t="str">
        <f t="shared" ca="1" si="17"/>
        <v/>
      </c>
      <c r="O191" s="7" t="str">
        <f>IF(L191="","",L191&amp;" Day Due")</f>
        <v/>
      </c>
      <c r="P191" s="10" t="str">
        <f>IF(A191="","",SUMIFS('Partial Payment Log'!$E$4:$E$501,'Partial Payment Log'!$C$4:$C$501,A191))</f>
        <v/>
      </c>
      <c r="Q191" s="10" t="str">
        <f>IF(A191="","",K191-P191)</f>
        <v/>
      </c>
      <c r="R191" s="6" t="str">
        <f>IF(A191="","",IF(Q191&lt;=0,IF(Q191&lt;0,"Overpaid","Paid"),IF(P191&gt;0,"Part Paid","Unpaid")))</f>
        <v/>
      </c>
    </row>
    <row r="192" spans="1:18" ht="15">
      <c r="A192" s="5"/>
      <c r="B192" s="5"/>
      <c r="C192" s="8"/>
      <c r="D192" s="9"/>
      <c r="E192" s="10"/>
      <c r="F192" s="10" t="str">
        <f t="shared" si="12"/>
        <v/>
      </c>
      <c r="G192" s="9"/>
      <c r="H192" s="10" t="str">
        <f t="shared" si="13"/>
        <v/>
      </c>
      <c r="I192" s="10" t="str">
        <f t="shared" si="14"/>
        <v/>
      </c>
      <c r="J192" s="10" t="str">
        <f t="shared" si="15"/>
        <v/>
      </c>
      <c r="K192" s="10" t="str">
        <f t="shared" si="16"/>
        <v/>
      </c>
      <c r="L192" s="6"/>
      <c r="M192" s="8" t="str">
        <f>IF(OR(C192="",L192=""),"",C192+L192)</f>
        <v/>
      </c>
      <c r="N192" s="11" t="str">
        <f t="shared" ca="1" si="17"/>
        <v/>
      </c>
      <c r="O192" s="7" t="str">
        <f>IF(L192="","",L192&amp;" Day Due")</f>
        <v/>
      </c>
      <c r="P192" s="10" t="str">
        <f>IF(A192="","",SUMIFS('Partial Payment Log'!$E$4:$E$501,'Partial Payment Log'!$C$4:$C$501,A192))</f>
        <v/>
      </c>
      <c r="Q192" s="10" t="str">
        <f>IF(A192="","",K192-P192)</f>
        <v/>
      </c>
      <c r="R192" s="6" t="str">
        <f>IF(A192="","",IF(Q192&lt;=0,IF(Q192&lt;0,"Overpaid","Paid"),IF(P192&gt;0,"Part Paid","Unpaid")))</f>
        <v/>
      </c>
    </row>
    <row r="193" spans="1:18" ht="15">
      <c r="A193" s="5"/>
      <c r="B193" s="5"/>
      <c r="C193" s="8"/>
      <c r="D193" s="9"/>
      <c r="E193" s="10"/>
      <c r="F193" s="10" t="str">
        <f t="shared" ref="F193:F256" si="18">IF(OR(D193="",E193=""),"",D193*E193)</f>
        <v/>
      </c>
      <c r="G193" s="9"/>
      <c r="H193" s="10" t="str">
        <f t="shared" ref="H193:H256" si="19">IF(A193="","",N(G193)*E193)</f>
        <v/>
      </c>
      <c r="I193" s="10" t="str">
        <f t="shared" ref="I193:I256" si="20">IF(F193="","",(F193-H193)*1.5%)</f>
        <v/>
      </c>
      <c r="J193" s="10" t="str">
        <f t="shared" ref="J193:J256" si="21">IF(F193="","",(F193-H193)+I193)</f>
        <v/>
      </c>
      <c r="K193" s="10" t="str">
        <f t="shared" ref="K193:K256" si="22">IF(F193="","",J193)</f>
        <v/>
      </c>
      <c r="L193" s="6"/>
      <c r="M193" s="8" t="str">
        <f>IF(OR(C193="",L193=""),"",C193+L193)</f>
        <v/>
      </c>
      <c r="N193" s="11" t="str">
        <f t="shared" ref="N193:N256" ca="1" si="23">IF(M193="","",M193-TODAY())</f>
        <v/>
      </c>
      <c r="O193" s="7" t="str">
        <f>IF(L193="","",L193&amp;" Day Due")</f>
        <v/>
      </c>
      <c r="P193" s="10" t="str">
        <f>IF(A193="","",SUMIFS('Partial Payment Log'!$E$4:$E$501,'Partial Payment Log'!$C$4:$C$501,A193))</f>
        <v/>
      </c>
      <c r="Q193" s="10" t="str">
        <f>IF(A193="","",K193-P193)</f>
        <v/>
      </c>
      <c r="R193" s="6" t="str">
        <f>IF(A193="","",IF(Q193&lt;=0,IF(Q193&lt;0,"Overpaid","Paid"),IF(P193&gt;0,"Part Paid","Unpaid")))</f>
        <v/>
      </c>
    </row>
    <row r="194" spans="1:18" ht="15">
      <c r="A194" s="5"/>
      <c r="B194" s="5"/>
      <c r="C194" s="8"/>
      <c r="D194" s="9"/>
      <c r="E194" s="10"/>
      <c r="F194" s="10" t="str">
        <f t="shared" si="18"/>
        <v/>
      </c>
      <c r="G194" s="9"/>
      <c r="H194" s="10" t="str">
        <f t="shared" si="19"/>
        <v/>
      </c>
      <c r="I194" s="10" t="str">
        <f t="shared" si="20"/>
        <v/>
      </c>
      <c r="J194" s="10" t="str">
        <f t="shared" si="21"/>
        <v/>
      </c>
      <c r="K194" s="10" t="str">
        <f t="shared" si="22"/>
        <v/>
      </c>
      <c r="L194" s="6"/>
      <c r="M194" s="8" t="str">
        <f>IF(OR(C194="",L194=""),"",C194+L194)</f>
        <v/>
      </c>
      <c r="N194" s="11" t="str">
        <f t="shared" ca="1" si="23"/>
        <v/>
      </c>
      <c r="O194" s="7" t="str">
        <f>IF(L194="","",L194&amp;" Day Due")</f>
        <v/>
      </c>
      <c r="P194" s="10" t="str">
        <f>IF(A194="","",SUMIFS('Partial Payment Log'!$E$4:$E$501,'Partial Payment Log'!$C$4:$C$501,A194))</f>
        <v/>
      </c>
      <c r="Q194" s="10" t="str">
        <f>IF(A194="","",K194-P194)</f>
        <v/>
      </c>
      <c r="R194" s="6" t="str">
        <f>IF(A194="","",IF(Q194&lt;=0,IF(Q194&lt;0,"Overpaid","Paid"),IF(P194&gt;0,"Part Paid","Unpaid")))</f>
        <v/>
      </c>
    </row>
    <row r="195" spans="1:18" ht="15">
      <c r="A195" s="5"/>
      <c r="B195" s="5"/>
      <c r="C195" s="8"/>
      <c r="D195" s="9"/>
      <c r="E195" s="10"/>
      <c r="F195" s="10" t="str">
        <f t="shared" si="18"/>
        <v/>
      </c>
      <c r="G195" s="9"/>
      <c r="H195" s="10" t="str">
        <f t="shared" si="19"/>
        <v/>
      </c>
      <c r="I195" s="10" t="str">
        <f t="shared" si="20"/>
        <v/>
      </c>
      <c r="J195" s="10" t="str">
        <f t="shared" si="21"/>
        <v/>
      </c>
      <c r="K195" s="10" t="str">
        <f t="shared" si="22"/>
        <v/>
      </c>
      <c r="L195" s="6"/>
      <c r="M195" s="8" t="str">
        <f>IF(OR(C195="",L195=""),"",C195+L195)</f>
        <v/>
      </c>
      <c r="N195" s="11" t="str">
        <f t="shared" ca="1" si="23"/>
        <v/>
      </c>
      <c r="O195" s="7" t="str">
        <f>IF(L195="","",L195&amp;" Day Due")</f>
        <v/>
      </c>
      <c r="P195" s="10" t="str">
        <f>IF(A195="","",SUMIFS('Partial Payment Log'!$E$4:$E$501,'Partial Payment Log'!$C$4:$C$501,A195))</f>
        <v/>
      </c>
      <c r="Q195" s="10" t="str">
        <f>IF(A195="","",K195-P195)</f>
        <v/>
      </c>
      <c r="R195" s="6" t="str">
        <f>IF(A195="","",IF(Q195&lt;=0,IF(Q195&lt;0,"Overpaid","Paid"),IF(P195&gt;0,"Part Paid","Unpaid")))</f>
        <v/>
      </c>
    </row>
    <row r="196" spans="1:18" ht="15">
      <c r="A196" s="5"/>
      <c r="B196" s="5"/>
      <c r="C196" s="8"/>
      <c r="D196" s="9"/>
      <c r="E196" s="10"/>
      <c r="F196" s="10" t="str">
        <f t="shared" si="18"/>
        <v/>
      </c>
      <c r="G196" s="9"/>
      <c r="H196" s="10" t="str">
        <f t="shared" si="19"/>
        <v/>
      </c>
      <c r="I196" s="10" t="str">
        <f t="shared" si="20"/>
        <v/>
      </c>
      <c r="J196" s="10" t="str">
        <f t="shared" si="21"/>
        <v/>
      </c>
      <c r="K196" s="10" t="str">
        <f t="shared" si="22"/>
        <v/>
      </c>
      <c r="L196" s="6"/>
      <c r="M196" s="8" t="str">
        <f>IF(OR(C196="",L196=""),"",C196+L196)</f>
        <v/>
      </c>
      <c r="N196" s="11" t="str">
        <f t="shared" ca="1" si="23"/>
        <v/>
      </c>
      <c r="O196" s="7" t="str">
        <f>IF(L196="","",L196&amp;" Day Due")</f>
        <v/>
      </c>
      <c r="P196" s="10" t="str">
        <f>IF(A196="","",SUMIFS('Partial Payment Log'!$E$4:$E$501,'Partial Payment Log'!$C$4:$C$501,A196))</f>
        <v/>
      </c>
      <c r="Q196" s="10" t="str">
        <f>IF(A196="","",K196-P196)</f>
        <v/>
      </c>
      <c r="R196" s="6" t="str">
        <f>IF(A196="","",IF(Q196&lt;=0,IF(Q196&lt;0,"Overpaid","Paid"),IF(P196&gt;0,"Part Paid","Unpaid")))</f>
        <v/>
      </c>
    </row>
    <row r="197" spans="1:18" ht="15">
      <c r="A197" s="5"/>
      <c r="B197" s="5"/>
      <c r="C197" s="8"/>
      <c r="D197" s="9"/>
      <c r="E197" s="10"/>
      <c r="F197" s="10" t="str">
        <f t="shared" si="18"/>
        <v/>
      </c>
      <c r="G197" s="9"/>
      <c r="H197" s="10" t="str">
        <f t="shared" si="19"/>
        <v/>
      </c>
      <c r="I197" s="10" t="str">
        <f t="shared" si="20"/>
        <v/>
      </c>
      <c r="J197" s="10" t="str">
        <f t="shared" si="21"/>
        <v/>
      </c>
      <c r="K197" s="10" t="str">
        <f t="shared" si="22"/>
        <v/>
      </c>
      <c r="L197" s="6"/>
      <c r="M197" s="8" t="str">
        <f>IF(OR(C197="",L197=""),"",C197+L197)</f>
        <v/>
      </c>
      <c r="N197" s="11" t="str">
        <f t="shared" ca="1" si="23"/>
        <v/>
      </c>
      <c r="O197" s="7" t="str">
        <f>IF(L197="","",L197&amp;" Day Due")</f>
        <v/>
      </c>
      <c r="P197" s="10" t="str">
        <f>IF(A197="","",SUMIFS('Partial Payment Log'!$E$4:$E$501,'Partial Payment Log'!$C$4:$C$501,A197))</f>
        <v/>
      </c>
      <c r="Q197" s="10" t="str">
        <f>IF(A197="","",K197-P197)</f>
        <v/>
      </c>
      <c r="R197" s="6" t="str">
        <f>IF(A197="","",IF(Q197&lt;=0,IF(Q197&lt;0,"Overpaid","Paid"),IF(P197&gt;0,"Part Paid","Unpaid")))</f>
        <v/>
      </c>
    </row>
    <row r="198" spans="1:18" ht="15">
      <c r="A198" s="5"/>
      <c r="B198" s="5"/>
      <c r="C198" s="8"/>
      <c r="D198" s="9"/>
      <c r="E198" s="10"/>
      <c r="F198" s="10" t="str">
        <f t="shared" si="18"/>
        <v/>
      </c>
      <c r="G198" s="9"/>
      <c r="H198" s="10" t="str">
        <f t="shared" si="19"/>
        <v/>
      </c>
      <c r="I198" s="10" t="str">
        <f t="shared" si="20"/>
        <v/>
      </c>
      <c r="J198" s="10" t="str">
        <f t="shared" si="21"/>
        <v/>
      </c>
      <c r="K198" s="10" t="str">
        <f t="shared" si="22"/>
        <v/>
      </c>
      <c r="L198" s="6"/>
      <c r="M198" s="8" t="str">
        <f>IF(OR(C198="",L198=""),"",C198+L198)</f>
        <v/>
      </c>
      <c r="N198" s="11" t="str">
        <f t="shared" ca="1" si="23"/>
        <v/>
      </c>
      <c r="O198" s="7" t="str">
        <f>IF(L198="","",L198&amp;" Day Due")</f>
        <v/>
      </c>
      <c r="P198" s="10" t="str">
        <f>IF(A198="","",SUMIFS('Partial Payment Log'!$E$4:$E$501,'Partial Payment Log'!$C$4:$C$501,A198))</f>
        <v/>
      </c>
      <c r="Q198" s="10" t="str">
        <f>IF(A198="","",K198-P198)</f>
        <v/>
      </c>
      <c r="R198" s="6" t="str">
        <f>IF(A198="","",IF(Q198&lt;=0,IF(Q198&lt;0,"Overpaid","Paid"),IF(P198&gt;0,"Part Paid","Unpaid")))</f>
        <v/>
      </c>
    </row>
    <row r="199" spans="1:18" ht="15">
      <c r="A199" s="5"/>
      <c r="B199" s="5"/>
      <c r="C199" s="8"/>
      <c r="D199" s="9"/>
      <c r="E199" s="10"/>
      <c r="F199" s="10" t="str">
        <f t="shared" si="18"/>
        <v/>
      </c>
      <c r="G199" s="9"/>
      <c r="H199" s="10" t="str">
        <f t="shared" si="19"/>
        <v/>
      </c>
      <c r="I199" s="10" t="str">
        <f t="shared" si="20"/>
        <v/>
      </c>
      <c r="J199" s="10" t="str">
        <f t="shared" si="21"/>
        <v/>
      </c>
      <c r="K199" s="10" t="str">
        <f t="shared" si="22"/>
        <v/>
      </c>
      <c r="L199" s="6"/>
      <c r="M199" s="8" t="str">
        <f>IF(OR(C199="",L199=""),"",C199+L199)</f>
        <v/>
      </c>
      <c r="N199" s="11" t="str">
        <f t="shared" ca="1" si="23"/>
        <v/>
      </c>
      <c r="O199" s="7" t="str">
        <f>IF(L199="","",L199&amp;" Day Due")</f>
        <v/>
      </c>
      <c r="P199" s="10" t="str">
        <f>IF(A199="","",SUMIFS('Partial Payment Log'!$E$4:$E$501,'Partial Payment Log'!$C$4:$C$501,A199))</f>
        <v/>
      </c>
      <c r="Q199" s="10" t="str">
        <f>IF(A199="","",K199-P199)</f>
        <v/>
      </c>
      <c r="R199" s="6" t="str">
        <f>IF(A199="","",IF(Q199&lt;=0,IF(Q199&lt;0,"Overpaid","Paid"),IF(P199&gt;0,"Part Paid","Unpaid")))</f>
        <v/>
      </c>
    </row>
    <row r="200" spans="1:18" ht="15">
      <c r="A200" s="5"/>
      <c r="B200" s="5"/>
      <c r="C200" s="8"/>
      <c r="D200" s="9"/>
      <c r="E200" s="10"/>
      <c r="F200" s="10" t="str">
        <f t="shared" si="18"/>
        <v/>
      </c>
      <c r="G200" s="9"/>
      <c r="H200" s="10" t="str">
        <f t="shared" si="19"/>
        <v/>
      </c>
      <c r="I200" s="10" t="str">
        <f t="shared" si="20"/>
        <v/>
      </c>
      <c r="J200" s="10" t="str">
        <f t="shared" si="21"/>
        <v/>
      </c>
      <c r="K200" s="10" t="str">
        <f t="shared" si="22"/>
        <v/>
      </c>
      <c r="L200" s="6"/>
      <c r="M200" s="8" t="str">
        <f>IF(OR(C200="",L200=""),"",C200+L200)</f>
        <v/>
      </c>
      <c r="N200" s="11" t="str">
        <f t="shared" ca="1" si="23"/>
        <v/>
      </c>
      <c r="O200" s="7" t="str">
        <f>IF(L200="","",L200&amp;" Day Due")</f>
        <v/>
      </c>
      <c r="P200" s="10" t="str">
        <f>IF(A200="","",SUMIFS('Partial Payment Log'!$E$4:$E$501,'Partial Payment Log'!$C$4:$C$501,A200))</f>
        <v/>
      </c>
      <c r="Q200" s="10" t="str">
        <f>IF(A200="","",K200-P200)</f>
        <v/>
      </c>
      <c r="R200" s="6" t="str">
        <f>IF(A200="","",IF(Q200&lt;=0,IF(Q200&lt;0,"Overpaid","Paid"),IF(P200&gt;0,"Part Paid","Unpaid")))</f>
        <v/>
      </c>
    </row>
    <row r="201" spans="1:18" ht="15">
      <c r="A201" s="5"/>
      <c r="B201" s="5"/>
      <c r="C201" s="8"/>
      <c r="D201" s="9"/>
      <c r="E201" s="10"/>
      <c r="F201" s="10" t="str">
        <f t="shared" si="18"/>
        <v/>
      </c>
      <c r="G201" s="9"/>
      <c r="H201" s="10" t="str">
        <f t="shared" si="19"/>
        <v/>
      </c>
      <c r="I201" s="10" t="str">
        <f t="shared" si="20"/>
        <v/>
      </c>
      <c r="J201" s="10" t="str">
        <f t="shared" si="21"/>
        <v/>
      </c>
      <c r="K201" s="10" t="str">
        <f t="shared" si="22"/>
        <v/>
      </c>
      <c r="L201" s="6"/>
      <c r="M201" s="8" t="str">
        <f>IF(OR(C201="",L201=""),"",C201+L201)</f>
        <v/>
      </c>
      <c r="N201" s="11" t="str">
        <f t="shared" ca="1" si="23"/>
        <v/>
      </c>
      <c r="O201" s="7" t="str">
        <f>IF(L201="","",L201&amp;" Day Due")</f>
        <v/>
      </c>
      <c r="P201" s="10" t="str">
        <f>IF(A201="","",SUMIFS('Partial Payment Log'!$E$4:$E$501,'Partial Payment Log'!$C$4:$C$501,A201))</f>
        <v/>
      </c>
      <c r="Q201" s="10" t="str">
        <f>IF(A201="","",K201-P201)</f>
        <v/>
      </c>
      <c r="R201" s="6" t="str">
        <f>IF(A201="","",IF(Q201&lt;=0,IF(Q201&lt;0,"Overpaid","Paid"),IF(P201&gt;0,"Part Paid","Unpaid")))</f>
        <v/>
      </c>
    </row>
    <row r="202" spans="1:18" ht="15">
      <c r="A202" s="5"/>
      <c r="B202" s="5"/>
      <c r="C202" s="8"/>
      <c r="D202" s="9"/>
      <c r="E202" s="10"/>
      <c r="F202" s="10" t="str">
        <f t="shared" si="18"/>
        <v/>
      </c>
      <c r="G202" s="9"/>
      <c r="H202" s="10" t="str">
        <f t="shared" si="19"/>
        <v/>
      </c>
      <c r="I202" s="10" t="str">
        <f t="shared" si="20"/>
        <v/>
      </c>
      <c r="J202" s="10" t="str">
        <f t="shared" si="21"/>
        <v/>
      </c>
      <c r="K202" s="10" t="str">
        <f t="shared" si="22"/>
        <v/>
      </c>
      <c r="L202" s="6"/>
      <c r="M202" s="8" t="str">
        <f>IF(OR(C202="",L202=""),"",C202+L202)</f>
        <v/>
      </c>
      <c r="N202" s="11" t="str">
        <f t="shared" ca="1" si="23"/>
        <v/>
      </c>
      <c r="O202" s="7" t="str">
        <f>IF(L202="","",L202&amp;" Day Due")</f>
        <v/>
      </c>
      <c r="P202" s="10" t="str">
        <f>IF(A202="","",SUMIFS('Partial Payment Log'!$E$4:$E$501,'Partial Payment Log'!$C$4:$C$501,A202))</f>
        <v/>
      </c>
      <c r="Q202" s="10" t="str">
        <f>IF(A202="","",K202-P202)</f>
        <v/>
      </c>
      <c r="R202" s="6" t="str">
        <f>IF(A202="","",IF(Q202&lt;=0,IF(Q202&lt;0,"Overpaid","Paid"),IF(P202&gt;0,"Part Paid","Unpaid")))</f>
        <v/>
      </c>
    </row>
    <row r="203" spans="1:18" ht="15">
      <c r="A203" s="5"/>
      <c r="B203" s="5"/>
      <c r="C203" s="8"/>
      <c r="D203" s="9"/>
      <c r="E203" s="10"/>
      <c r="F203" s="10" t="str">
        <f t="shared" si="18"/>
        <v/>
      </c>
      <c r="G203" s="9"/>
      <c r="H203" s="10" t="str">
        <f t="shared" si="19"/>
        <v/>
      </c>
      <c r="I203" s="10" t="str">
        <f t="shared" si="20"/>
        <v/>
      </c>
      <c r="J203" s="10" t="str">
        <f t="shared" si="21"/>
        <v/>
      </c>
      <c r="K203" s="10" t="str">
        <f t="shared" si="22"/>
        <v/>
      </c>
      <c r="L203" s="6"/>
      <c r="M203" s="8" t="str">
        <f>IF(OR(C203="",L203=""),"",C203+L203)</f>
        <v/>
      </c>
      <c r="N203" s="11" t="str">
        <f t="shared" ca="1" si="23"/>
        <v/>
      </c>
      <c r="O203" s="7" t="str">
        <f>IF(L203="","",L203&amp;" Day Due")</f>
        <v/>
      </c>
      <c r="P203" s="10" t="str">
        <f>IF(A203="","",SUMIFS('Partial Payment Log'!$E$4:$E$501,'Partial Payment Log'!$C$4:$C$501,A203))</f>
        <v/>
      </c>
      <c r="Q203" s="10" t="str">
        <f>IF(A203="","",K203-P203)</f>
        <v/>
      </c>
      <c r="R203" s="6" t="str">
        <f>IF(A203="","",IF(Q203&lt;=0,IF(Q203&lt;0,"Overpaid","Paid"),IF(P203&gt;0,"Part Paid","Unpaid")))</f>
        <v/>
      </c>
    </row>
    <row r="204" spans="1:18" ht="15">
      <c r="A204" s="5"/>
      <c r="B204" s="5"/>
      <c r="C204" s="8"/>
      <c r="D204" s="9"/>
      <c r="E204" s="10"/>
      <c r="F204" s="10" t="str">
        <f t="shared" si="18"/>
        <v/>
      </c>
      <c r="G204" s="9"/>
      <c r="H204" s="10" t="str">
        <f t="shared" si="19"/>
        <v/>
      </c>
      <c r="I204" s="10" t="str">
        <f t="shared" si="20"/>
        <v/>
      </c>
      <c r="J204" s="10" t="str">
        <f t="shared" si="21"/>
        <v/>
      </c>
      <c r="K204" s="10" t="str">
        <f t="shared" si="22"/>
        <v/>
      </c>
      <c r="L204" s="6"/>
      <c r="M204" s="8" t="str">
        <f>IF(OR(C204="",L204=""),"",C204+L204)</f>
        <v/>
      </c>
      <c r="N204" s="11" t="str">
        <f t="shared" ca="1" si="23"/>
        <v/>
      </c>
      <c r="O204" s="7" t="str">
        <f>IF(L204="","",L204&amp;" Day Due")</f>
        <v/>
      </c>
      <c r="P204" s="10" t="str">
        <f>IF(A204="","",SUMIFS('Partial Payment Log'!$E$4:$E$501,'Partial Payment Log'!$C$4:$C$501,A204))</f>
        <v/>
      </c>
      <c r="Q204" s="10" t="str">
        <f>IF(A204="","",K204-P204)</f>
        <v/>
      </c>
      <c r="R204" s="6" t="str">
        <f>IF(A204="","",IF(Q204&lt;=0,IF(Q204&lt;0,"Overpaid","Paid"),IF(P204&gt;0,"Part Paid","Unpaid")))</f>
        <v/>
      </c>
    </row>
    <row r="205" spans="1:18" ht="15">
      <c r="A205" s="5"/>
      <c r="B205" s="5"/>
      <c r="C205" s="8"/>
      <c r="D205" s="9"/>
      <c r="E205" s="10"/>
      <c r="F205" s="10" t="str">
        <f t="shared" si="18"/>
        <v/>
      </c>
      <c r="G205" s="9"/>
      <c r="H205" s="10" t="str">
        <f t="shared" si="19"/>
        <v/>
      </c>
      <c r="I205" s="10" t="str">
        <f t="shared" si="20"/>
        <v/>
      </c>
      <c r="J205" s="10" t="str">
        <f t="shared" si="21"/>
        <v/>
      </c>
      <c r="K205" s="10" t="str">
        <f t="shared" si="22"/>
        <v/>
      </c>
      <c r="L205" s="6"/>
      <c r="M205" s="8" t="str">
        <f>IF(OR(C205="",L205=""),"",C205+L205)</f>
        <v/>
      </c>
      <c r="N205" s="11" t="str">
        <f t="shared" ca="1" si="23"/>
        <v/>
      </c>
      <c r="O205" s="7" t="str">
        <f>IF(L205="","",L205&amp;" Day Due")</f>
        <v/>
      </c>
      <c r="P205" s="10" t="str">
        <f>IF(A205="","",SUMIFS('Partial Payment Log'!$E$4:$E$501,'Partial Payment Log'!$C$4:$C$501,A205))</f>
        <v/>
      </c>
      <c r="Q205" s="10" t="str">
        <f>IF(A205="","",K205-P205)</f>
        <v/>
      </c>
      <c r="R205" s="6" t="str">
        <f>IF(A205="","",IF(Q205&lt;=0,IF(Q205&lt;0,"Overpaid","Paid"),IF(P205&gt;0,"Part Paid","Unpaid")))</f>
        <v/>
      </c>
    </row>
    <row r="206" spans="1:18" ht="15">
      <c r="A206" s="5"/>
      <c r="B206" s="5"/>
      <c r="C206" s="8"/>
      <c r="D206" s="9"/>
      <c r="E206" s="10"/>
      <c r="F206" s="10" t="str">
        <f t="shared" si="18"/>
        <v/>
      </c>
      <c r="G206" s="9"/>
      <c r="H206" s="10" t="str">
        <f t="shared" si="19"/>
        <v/>
      </c>
      <c r="I206" s="10" t="str">
        <f t="shared" si="20"/>
        <v/>
      </c>
      <c r="J206" s="10" t="str">
        <f t="shared" si="21"/>
        <v/>
      </c>
      <c r="K206" s="10" t="str">
        <f t="shared" si="22"/>
        <v/>
      </c>
      <c r="L206" s="6"/>
      <c r="M206" s="8" t="str">
        <f>IF(OR(C206="",L206=""),"",C206+L206)</f>
        <v/>
      </c>
      <c r="N206" s="11" t="str">
        <f t="shared" ca="1" si="23"/>
        <v/>
      </c>
      <c r="O206" s="7" t="str">
        <f>IF(L206="","",L206&amp;" Day Due")</f>
        <v/>
      </c>
      <c r="P206" s="10" t="str">
        <f>IF(A206="","",SUMIFS('Partial Payment Log'!$E$4:$E$501,'Partial Payment Log'!$C$4:$C$501,A206))</f>
        <v/>
      </c>
      <c r="Q206" s="10" t="str">
        <f>IF(A206="","",K206-P206)</f>
        <v/>
      </c>
      <c r="R206" s="6" t="str">
        <f>IF(A206="","",IF(Q206&lt;=0,IF(Q206&lt;0,"Overpaid","Paid"),IF(P206&gt;0,"Part Paid","Unpaid")))</f>
        <v/>
      </c>
    </row>
    <row r="207" spans="1:18" ht="15">
      <c r="A207" s="5"/>
      <c r="B207" s="5"/>
      <c r="C207" s="8"/>
      <c r="D207" s="9"/>
      <c r="E207" s="10"/>
      <c r="F207" s="10" t="str">
        <f t="shared" si="18"/>
        <v/>
      </c>
      <c r="G207" s="9"/>
      <c r="H207" s="10" t="str">
        <f t="shared" si="19"/>
        <v/>
      </c>
      <c r="I207" s="10" t="str">
        <f t="shared" si="20"/>
        <v/>
      </c>
      <c r="J207" s="10" t="str">
        <f t="shared" si="21"/>
        <v/>
      </c>
      <c r="K207" s="10" t="str">
        <f t="shared" si="22"/>
        <v/>
      </c>
      <c r="L207" s="6"/>
      <c r="M207" s="8" t="str">
        <f>IF(OR(C207="",L207=""),"",C207+L207)</f>
        <v/>
      </c>
      <c r="N207" s="11" t="str">
        <f t="shared" ca="1" si="23"/>
        <v/>
      </c>
      <c r="O207" s="7" t="str">
        <f>IF(L207="","",L207&amp;" Day Due")</f>
        <v/>
      </c>
      <c r="P207" s="10" t="str">
        <f>IF(A207="","",SUMIFS('Partial Payment Log'!$E$4:$E$501,'Partial Payment Log'!$C$4:$C$501,A207))</f>
        <v/>
      </c>
      <c r="Q207" s="10" t="str">
        <f>IF(A207="","",K207-P207)</f>
        <v/>
      </c>
      <c r="R207" s="6" t="str">
        <f>IF(A207="","",IF(Q207&lt;=0,IF(Q207&lt;0,"Overpaid","Paid"),IF(P207&gt;0,"Part Paid","Unpaid")))</f>
        <v/>
      </c>
    </row>
    <row r="208" spans="1:18" ht="15">
      <c r="A208" s="5"/>
      <c r="B208" s="5"/>
      <c r="C208" s="8"/>
      <c r="D208" s="9"/>
      <c r="E208" s="10"/>
      <c r="F208" s="10" t="str">
        <f t="shared" si="18"/>
        <v/>
      </c>
      <c r="G208" s="9"/>
      <c r="H208" s="10" t="str">
        <f t="shared" si="19"/>
        <v/>
      </c>
      <c r="I208" s="10" t="str">
        <f t="shared" si="20"/>
        <v/>
      </c>
      <c r="J208" s="10" t="str">
        <f t="shared" si="21"/>
        <v/>
      </c>
      <c r="K208" s="10" t="str">
        <f t="shared" si="22"/>
        <v/>
      </c>
      <c r="L208" s="6"/>
      <c r="M208" s="8" t="str">
        <f>IF(OR(C208="",L208=""),"",C208+L208)</f>
        <v/>
      </c>
      <c r="N208" s="11" t="str">
        <f t="shared" ca="1" si="23"/>
        <v/>
      </c>
      <c r="O208" s="7" t="str">
        <f>IF(L208="","",L208&amp;" Day Due")</f>
        <v/>
      </c>
      <c r="P208" s="10" t="str">
        <f>IF(A208="","",SUMIFS('Partial Payment Log'!$E$4:$E$501,'Partial Payment Log'!$C$4:$C$501,A208))</f>
        <v/>
      </c>
      <c r="Q208" s="10" t="str">
        <f>IF(A208="","",K208-P208)</f>
        <v/>
      </c>
      <c r="R208" s="6" t="str">
        <f>IF(A208="","",IF(Q208&lt;=0,IF(Q208&lt;0,"Overpaid","Paid"),IF(P208&gt;0,"Part Paid","Unpaid")))</f>
        <v/>
      </c>
    </row>
    <row r="209" spans="1:18" ht="15">
      <c r="A209" s="5"/>
      <c r="B209" s="5"/>
      <c r="C209" s="8"/>
      <c r="D209" s="9"/>
      <c r="E209" s="10"/>
      <c r="F209" s="10" t="str">
        <f t="shared" si="18"/>
        <v/>
      </c>
      <c r="G209" s="9"/>
      <c r="H209" s="10" t="str">
        <f t="shared" si="19"/>
        <v/>
      </c>
      <c r="I209" s="10" t="str">
        <f t="shared" si="20"/>
        <v/>
      </c>
      <c r="J209" s="10" t="str">
        <f t="shared" si="21"/>
        <v/>
      </c>
      <c r="K209" s="10" t="str">
        <f t="shared" si="22"/>
        <v/>
      </c>
      <c r="L209" s="6"/>
      <c r="M209" s="8" t="str">
        <f>IF(OR(C209="",L209=""),"",C209+L209)</f>
        <v/>
      </c>
      <c r="N209" s="11" t="str">
        <f t="shared" ca="1" si="23"/>
        <v/>
      </c>
      <c r="O209" s="7" t="str">
        <f>IF(L209="","",L209&amp;" Day Due")</f>
        <v/>
      </c>
      <c r="P209" s="10" t="str">
        <f>IF(A209="","",SUMIFS('Partial Payment Log'!$E$4:$E$501,'Partial Payment Log'!$C$4:$C$501,A209))</f>
        <v/>
      </c>
      <c r="Q209" s="10" t="str">
        <f>IF(A209="","",K209-P209)</f>
        <v/>
      </c>
      <c r="R209" s="6" t="str">
        <f>IF(A209="","",IF(Q209&lt;=0,IF(Q209&lt;0,"Overpaid","Paid"),IF(P209&gt;0,"Part Paid","Unpaid")))</f>
        <v/>
      </c>
    </row>
    <row r="210" spans="1:18" ht="15">
      <c r="A210" s="5"/>
      <c r="B210" s="5"/>
      <c r="C210" s="8"/>
      <c r="D210" s="9"/>
      <c r="E210" s="10"/>
      <c r="F210" s="10" t="str">
        <f t="shared" si="18"/>
        <v/>
      </c>
      <c r="G210" s="9"/>
      <c r="H210" s="10" t="str">
        <f t="shared" si="19"/>
        <v/>
      </c>
      <c r="I210" s="10" t="str">
        <f t="shared" si="20"/>
        <v/>
      </c>
      <c r="J210" s="10" t="str">
        <f t="shared" si="21"/>
        <v/>
      </c>
      <c r="K210" s="10" t="str">
        <f t="shared" si="22"/>
        <v/>
      </c>
      <c r="L210" s="6"/>
      <c r="M210" s="8" t="str">
        <f>IF(OR(C210="",L210=""),"",C210+L210)</f>
        <v/>
      </c>
      <c r="N210" s="11" t="str">
        <f t="shared" ca="1" si="23"/>
        <v/>
      </c>
      <c r="O210" s="7" t="str">
        <f>IF(L210="","",L210&amp;" Day Due")</f>
        <v/>
      </c>
      <c r="P210" s="10" t="str">
        <f>IF(A210="","",SUMIFS('Partial Payment Log'!$E$4:$E$501,'Partial Payment Log'!$C$4:$C$501,A210))</f>
        <v/>
      </c>
      <c r="Q210" s="10" t="str">
        <f>IF(A210="","",K210-P210)</f>
        <v/>
      </c>
      <c r="R210" s="6" t="str">
        <f>IF(A210="","",IF(Q210&lt;=0,IF(Q210&lt;0,"Overpaid","Paid"),IF(P210&gt;0,"Part Paid","Unpaid")))</f>
        <v/>
      </c>
    </row>
    <row r="211" spans="1:18" ht="15">
      <c r="A211" s="5"/>
      <c r="B211" s="5"/>
      <c r="C211" s="8"/>
      <c r="D211" s="9"/>
      <c r="E211" s="10"/>
      <c r="F211" s="10" t="str">
        <f t="shared" si="18"/>
        <v/>
      </c>
      <c r="G211" s="9"/>
      <c r="H211" s="10" t="str">
        <f t="shared" si="19"/>
        <v/>
      </c>
      <c r="I211" s="10" t="str">
        <f t="shared" si="20"/>
        <v/>
      </c>
      <c r="J211" s="10" t="str">
        <f t="shared" si="21"/>
        <v/>
      </c>
      <c r="K211" s="10" t="str">
        <f t="shared" si="22"/>
        <v/>
      </c>
      <c r="L211" s="6"/>
      <c r="M211" s="8" t="str">
        <f>IF(OR(C211="",L211=""),"",C211+L211)</f>
        <v/>
      </c>
      <c r="N211" s="11" t="str">
        <f t="shared" ca="1" si="23"/>
        <v/>
      </c>
      <c r="O211" s="7" t="str">
        <f>IF(L211="","",L211&amp;" Day Due")</f>
        <v/>
      </c>
      <c r="P211" s="10" t="str">
        <f>IF(A211="","",SUMIFS('Partial Payment Log'!$E$4:$E$501,'Partial Payment Log'!$C$4:$C$501,A211))</f>
        <v/>
      </c>
      <c r="Q211" s="10" t="str">
        <f>IF(A211="","",K211-P211)</f>
        <v/>
      </c>
      <c r="R211" s="6" t="str">
        <f>IF(A211="","",IF(Q211&lt;=0,IF(Q211&lt;0,"Overpaid","Paid"),IF(P211&gt;0,"Part Paid","Unpaid")))</f>
        <v/>
      </c>
    </row>
    <row r="212" spans="1:18" ht="15">
      <c r="A212" s="5"/>
      <c r="B212" s="5"/>
      <c r="C212" s="8"/>
      <c r="D212" s="9"/>
      <c r="E212" s="10"/>
      <c r="F212" s="10" t="str">
        <f t="shared" si="18"/>
        <v/>
      </c>
      <c r="G212" s="9"/>
      <c r="H212" s="10" t="str">
        <f t="shared" si="19"/>
        <v/>
      </c>
      <c r="I212" s="10" t="str">
        <f t="shared" si="20"/>
        <v/>
      </c>
      <c r="J212" s="10" t="str">
        <f t="shared" si="21"/>
        <v/>
      </c>
      <c r="K212" s="10" t="str">
        <f t="shared" si="22"/>
        <v/>
      </c>
      <c r="L212" s="6"/>
      <c r="M212" s="8" t="str">
        <f>IF(OR(C212="",L212=""),"",C212+L212)</f>
        <v/>
      </c>
      <c r="N212" s="11" t="str">
        <f t="shared" ca="1" si="23"/>
        <v/>
      </c>
      <c r="O212" s="7" t="str">
        <f>IF(L212="","",L212&amp;" Day Due")</f>
        <v/>
      </c>
      <c r="P212" s="10" t="str">
        <f>IF(A212="","",SUMIFS('Partial Payment Log'!$E$4:$E$501,'Partial Payment Log'!$C$4:$C$501,A212))</f>
        <v/>
      </c>
      <c r="Q212" s="10" t="str">
        <f>IF(A212="","",K212-P212)</f>
        <v/>
      </c>
      <c r="R212" s="6" t="str">
        <f>IF(A212="","",IF(Q212&lt;=0,IF(Q212&lt;0,"Overpaid","Paid"),IF(P212&gt;0,"Part Paid","Unpaid")))</f>
        <v/>
      </c>
    </row>
    <row r="213" spans="1:18" ht="15">
      <c r="A213" s="5"/>
      <c r="B213" s="5"/>
      <c r="C213" s="8"/>
      <c r="D213" s="9"/>
      <c r="E213" s="10"/>
      <c r="F213" s="10" t="str">
        <f t="shared" si="18"/>
        <v/>
      </c>
      <c r="G213" s="9"/>
      <c r="H213" s="10" t="str">
        <f t="shared" si="19"/>
        <v/>
      </c>
      <c r="I213" s="10" t="str">
        <f t="shared" si="20"/>
        <v/>
      </c>
      <c r="J213" s="10" t="str">
        <f t="shared" si="21"/>
        <v/>
      </c>
      <c r="K213" s="10" t="str">
        <f t="shared" si="22"/>
        <v/>
      </c>
      <c r="L213" s="6"/>
      <c r="M213" s="8" t="str">
        <f>IF(OR(C213="",L213=""),"",C213+L213)</f>
        <v/>
      </c>
      <c r="N213" s="11" t="str">
        <f t="shared" ca="1" si="23"/>
        <v/>
      </c>
      <c r="O213" s="7" t="str">
        <f>IF(L213="","",L213&amp;" Day Due")</f>
        <v/>
      </c>
      <c r="P213" s="10" t="str">
        <f>IF(A213="","",SUMIFS('Partial Payment Log'!$E$4:$E$501,'Partial Payment Log'!$C$4:$C$501,A213))</f>
        <v/>
      </c>
      <c r="Q213" s="10" t="str">
        <f>IF(A213="","",K213-P213)</f>
        <v/>
      </c>
      <c r="R213" s="6" t="str">
        <f>IF(A213="","",IF(Q213&lt;=0,IF(Q213&lt;0,"Overpaid","Paid"),IF(P213&gt;0,"Part Paid","Unpaid")))</f>
        <v/>
      </c>
    </row>
    <row r="214" spans="1:18" ht="15">
      <c r="A214" s="5"/>
      <c r="B214" s="5"/>
      <c r="C214" s="8"/>
      <c r="D214" s="9"/>
      <c r="E214" s="10"/>
      <c r="F214" s="10" t="str">
        <f t="shared" si="18"/>
        <v/>
      </c>
      <c r="G214" s="9"/>
      <c r="H214" s="10" t="str">
        <f t="shared" si="19"/>
        <v/>
      </c>
      <c r="I214" s="10" t="str">
        <f t="shared" si="20"/>
        <v/>
      </c>
      <c r="J214" s="10" t="str">
        <f t="shared" si="21"/>
        <v/>
      </c>
      <c r="K214" s="10" t="str">
        <f t="shared" si="22"/>
        <v/>
      </c>
      <c r="L214" s="6"/>
      <c r="M214" s="8" t="str">
        <f>IF(OR(C214="",L214=""),"",C214+L214)</f>
        <v/>
      </c>
      <c r="N214" s="11" t="str">
        <f t="shared" ca="1" si="23"/>
        <v/>
      </c>
      <c r="O214" s="7" t="str">
        <f>IF(L214="","",L214&amp;" Day Due")</f>
        <v/>
      </c>
      <c r="P214" s="10" t="str">
        <f>IF(A214="","",SUMIFS('Partial Payment Log'!$E$4:$E$501,'Partial Payment Log'!$C$4:$C$501,A214))</f>
        <v/>
      </c>
      <c r="Q214" s="10" t="str">
        <f>IF(A214="","",K214-P214)</f>
        <v/>
      </c>
      <c r="R214" s="6" t="str">
        <f>IF(A214="","",IF(Q214&lt;=0,IF(Q214&lt;0,"Overpaid","Paid"),IF(P214&gt;0,"Part Paid","Unpaid")))</f>
        <v/>
      </c>
    </row>
    <row r="215" spans="1:18" ht="15">
      <c r="A215" s="5"/>
      <c r="B215" s="5"/>
      <c r="C215" s="8"/>
      <c r="D215" s="9"/>
      <c r="E215" s="10"/>
      <c r="F215" s="10" t="str">
        <f t="shared" si="18"/>
        <v/>
      </c>
      <c r="G215" s="9"/>
      <c r="H215" s="10" t="str">
        <f t="shared" si="19"/>
        <v/>
      </c>
      <c r="I215" s="10" t="str">
        <f t="shared" si="20"/>
        <v/>
      </c>
      <c r="J215" s="10" t="str">
        <f t="shared" si="21"/>
        <v/>
      </c>
      <c r="K215" s="10" t="str">
        <f t="shared" si="22"/>
        <v/>
      </c>
      <c r="L215" s="6"/>
      <c r="M215" s="8" t="str">
        <f>IF(OR(C215="",L215=""),"",C215+L215)</f>
        <v/>
      </c>
      <c r="N215" s="11" t="str">
        <f t="shared" ca="1" si="23"/>
        <v/>
      </c>
      <c r="O215" s="7" t="str">
        <f>IF(L215="","",L215&amp;" Day Due")</f>
        <v/>
      </c>
      <c r="P215" s="10" t="str">
        <f>IF(A215="","",SUMIFS('Partial Payment Log'!$E$4:$E$501,'Partial Payment Log'!$C$4:$C$501,A215))</f>
        <v/>
      </c>
      <c r="Q215" s="10" t="str">
        <f>IF(A215="","",K215-P215)</f>
        <v/>
      </c>
      <c r="R215" s="6" t="str">
        <f>IF(A215="","",IF(Q215&lt;=0,IF(Q215&lt;0,"Overpaid","Paid"),IF(P215&gt;0,"Part Paid","Unpaid")))</f>
        <v/>
      </c>
    </row>
    <row r="216" spans="1:18" ht="15">
      <c r="A216" s="5"/>
      <c r="B216" s="5"/>
      <c r="C216" s="8"/>
      <c r="D216" s="9"/>
      <c r="E216" s="10"/>
      <c r="F216" s="10" t="str">
        <f t="shared" si="18"/>
        <v/>
      </c>
      <c r="G216" s="9"/>
      <c r="H216" s="10" t="str">
        <f t="shared" si="19"/>
        <v/>
      </c>
      <c r="I216" s="10" t="str">
        <f t="shared" si="20"/>
        <v/>
      </c>
      <c r="J216" s="10" t="str">
        <f t="shared" si="21"/>
        <v/>
      </c>
      <c r="K216" s="10" t="str">
        <f t="shared" si="22"/>
        <v/>
      </c>
      <c r="L216" s="6"/>
      <c r="M216" s="8" t="str">
        <f>IF(OR(C216="",L216=""),"",C216+L216)</f>
        <v/>
      </c>
      <c r="N216" s="11" t="str">
        <f t="shared" ca="1" si="23"/>
        <v/>
      </c>
      <c r="O216" s="7" t="str">
        <f>IF(L216="","",L216&amp;" Day Due")</f>
        <v/>
      </c>
      <c r="P216" s="10" t="str">
        <f>IF(A216="","",SUMIFS('Partial Payment Log'!$E$4:$E$501,'Partial Payment Log'!$C$4:$C$501,A216))</f>
        <v/>
      </c>
      <c r="Q216" s="10" t="str">
        <f>IF(A216="","",K216-P216)</f>
        <v/>
      </c>
      <c r="R216" s="6" t="str">
        <f>IF(A216="","",IF(Q216&lt;=0,IF(Q216&lt;0,"Overpaid","Paid"),IF(P216&gt;0,"Part Paid","Unpaid")))</f>
        <v/>
      </c>
    </row>
    <row r="217" spans="1:18" ht="15">
      <c r="A217" s="5"/>
      <c r="B217" s="5"/>
      <c r="C217" s="8"/>
      <c r="D217" s="9"/>
      <c r="E217" s="10"/>
      <c r="F217" s="10" t="str">
        <f t="shared" si="18"/>
        <v/>
      </c>
      <c r="G217" s="9"/>
      <c r="H217" s="10" t="str">
        <f t="shared" si="19"/>
        <v/>
      </c>
      <c r="I217" s="10" t="str">
        <f t="shared" si="20"/>
        <v/>
      </c>
      <c r="J217" s="10" t="str">
        <f t="shared" si="21"/>
        <v/>
      </c>
      <c r="K217" s="10" t="str">
        <f t="shared" si="22"/>
        <v/>
      </c>
      <c r="L217" s="6"/>
      <c r="M217" s="8" t="str">
        <f>IF(OR(C217="",L217=""),"",C217+L217)</f>
        <v/>
      </c>
      <c r="N217" s="11" t="str">
        <f t="shared" ca="1" si="23"/>
        <v/>
      </c>
      <c r="O217" s="7" t="str">
        <f>IF(L217="","",L217&amp;" Day Due")</f>
        <v/>
      </c>
      <c r="P217" s="10" t="str">
        <f>IF(A217="","",SUMIFS('Partial Payment Log'!$E$4:$E$501,'Partial Payment Log'!$C$4:$C$501,A217))</f>
        <v/>
      </c>
      <c r="Q217" s="10" t="str">
        <f>IF(A217="","",K217-P217)</f>
        <v/>
      </c>
      <c r="R217" s="6" t="str">
        <f>IF(A217="","",IF(Q217&lt;=0,IF(Q217&lt;0,"Overpaid","Paid"),IF(P217&gt;0,"Part Paid","Unpaid")))</f>
        <v/>
      </c>
    </row>
    <row r="218" spans="1:18" ht="15">
      <c r="A218" s="5"/>
      <c r="B218" s="5"/>
      <c r="C218" s="8"/>
      <c r="D218" s="9"/>
      <c r="E218" s="10"/>
      <c r="F218" s="10" t="str">
        <f t="shared" si="18"/>
        <v/>
      </c>
      <c r="G218" s="9"/>
      <c r="H218" s="10" t="str">
        <f t="shared" si="19"/>
        <v/>
      </c>
      <c r="I218" s="10" t="str">
        <f t="shared" si="20"/>
        <v/>
      </c>
      <c r="J218" s="10" t="str">
        <f t="shared" si="21"/>
        <v/>
      </c>
      <c r="K218" s="10" t="str">
        <f t="shared" si="22"/>
        <v/>
      </c>
      <c r="L218" s="6"/>
      <c r="M218" s="8" t="str">
        <f>IF(OR(C218="",L218=""),"",C218+L218)</f>
        <v/>
      </c>
      <c r="N218" s="11" t="str">
        <f t="shared" ca="1" si="23"/>
        <v/>
      </c>
      <c r="O218" s="7" t="str">
        <f>IF(L218="","",L218&amp;" Day Due")</f>
        <v/>
      </c>
      <c r="P218" s="10" t="str">
        <f>IF(A218="","",SUMIFS('Partial Payment Log'!$E$4:$E$501,'Partial Payment Log'!$C$4:$C$501,A218))</f>
        <v/>
      </c>
      <c r="Q218" s="10" t="str">
        <f>IF(A218="","",K218-P218)</f>
        <v/>
      </c>
      <c r="R218" s="6" t="str">
        <f>IF(A218="","",IF(Q218&lt;=0,IF(Q218&lt;0,"Overpaid","Paid"),IF(P218&gt;0,"Part Paid","Unpaid")))</f>
        <v/>
      </c>
    </row>
    <row r="219" spans="1:18" ht="15">
      <c r="A219" s="5"/>
      <c r="B219" s="5"/>
      <c r="C219" s="8"/>
      <c r="D219" s="9"/>
      <c r="E219" s="10"/>
      <c r="F219" s="10" t="str">
        <f t="shared" si="18"/>
        <v/>
      </c>
      <c r="G219" s="9"/>
      <c r="H219" s="10" t="str">
        <f t="shared" si="19"/>
        <v/>
      </c>
      <c r="I219" s="10" t="str">
        <f t="shared" si="20"/>
        <v/>
      </c>
      <c r="J219" s="10" t="str">
        <f t="shared" si="21"/>
        <v/>
      </c>
      <c r="K219" s="10" t="str">
        <f t="shared" si="22"/>
        <v/>
      </c>
      <c r="L219" s="6"/>
      <c r="M219" s="8" t="str">
        <f>IF(OR(C219="",L219=""),"",C219+L219)</f>
        <v/>
      </c>
      <c r="N219" s="11" t="str">
        <f t="shared" ca="1" si="23"/>
        <v/>
      </c>
      <c r="O219" s="7" t="str">
        <f>IF(L219="","",L219&amp;" Day Due")</f>
        <v/>
      </c>
      <c r="P219" s="10" t="str">
        <f>IF(A219="","",SUMIFS('Partial Payment Log'!$E$4:$E$501,'Partial Payment Log'!$C$4:$C$501,A219))</f>
        <v/>
      </c>
      <c r="Q219" s="10" t="str">
        <f>IF(A219="","",K219-P219)</f>
        <v/>
      </c>
      <c r="R219" s="6" t="str">
        <f>IF(A219="","",IF(Q219&lt;=0,IF(Q219&lt;0,"Overpaid","Paid"),IF(P219&gt;0,"Part Paid","Unpaid")))</f>
        <v/>
      </c>
    </row>
    <row r="220" spans="1:18" ht="15">
      <c r="A220" s="5"/>
      <c r="B220" s="5"/>
      <c r="C220" s="8"/>
      <c r="D220" s="9"/>
      <c r="E220" s="10"/>
      <c r="F220" s="10" t="str">
        <f t="shared" si="18"/>
        <v/>
      </c>
      <c r="G220" s="9"/>
      <c r="H220" s="10" t="str">
        <f t="shared" si="19"/>
        <v/>
      </c>
      <c r="I220" s="10" t="str">
        <f t="shared" si="20"/>
        <v/>
      </c>
      <c r="J220" s="10" t="str">
        <f t="shared" si="21"/>
        <v/>
      </c>
      <c r="K220" s="10" t="str">
        <f t="shared" si="22"/>
        <v/>
      </c>
      <c r="L220" s="6"/>
      <c r="M220" s="8" t="str">
        <f>IF(OR(C220="",L220=""),"",C220+L220)</f>
        <v/>
      </c>
      <c r="N220" s="11" t="str">
        <f t="shared" ca="1" si="23"/>
        <v/>
      </c>
      <c r="O220" s="7" t="str">
        <f>IF(L220="","",L220&amp;" Day Due")</f>
        <v/>
      </c>
      <c r="P220" s="10" t="str">
        <f>IF(A220="","",SUMIFS('Partial Payment Log'!$E$4:$E$501,'Partial Payment Log'!$C$4:$C$501,A220))</f>
        <v/>
      </c>
      <c r="Q220" s="10" t="str">
        <f>IF(A220="","",K220-P220)</f>
        <v/>
      </c>
      <c r="R220" s="6" t="str">
        <f>IF(A220="","",IF(Q220&lt;=0,IF(Q220&lt;0,"Overpaid","Paid"),IF(P220&gt;0,"Part Paid","Unpaid")))</f>
        <v/>
      </c>
    </row>
    <row r="221" spans="1:18" ht="15">
      <c r="A221" s="5"/>
      <c r="B221" s="5"/>
      <c r="C221" s="8"/>
      <c r="D221" s="9"/>
      <c r="E221" s="10"/>
      <c r="F221" s="10" t="str">
        <f t="shared" si="18"/>
        <v/>
      </c>
      <c r="G221" s="9"/>
      <c r="H221" s="10" t="str">
        <f t="shared" si="19"/>
        <v/>
      </c>
      <c r="I221" s="10" t="str">
        <f t="shared" si="20"/>
        <v/>
      </c>
      <c r="J221" s="10" t="str">
        <f t="shared" si="21"/>
        <v/>
      </c>
      <c r="K221" s="10" t="str">
        <f t="shared" si="22"/>
        <v/>
      </c>
      <c r="L221" s="6"/>
      <c r="M221" s="8" t="str">
        <f>IF(OR(C221="",L221=""),"",C221+L221)</f>
        <v/>
      </c>
      <c r="N221" s="11" t="str">
        <f t="shared" ca="1" si="23"/>
        <v/>
      </c>
      <c r="O221" s="7" t="str">
        <f>IF(L221="","",L221&amp;" Day Due")</f>
        <v/>
      </c>
      <c r="P221" s="10" t="str">
        <f>IF(A221="","",SUMIFS('Partial Payment Log'!$E$4:$E$501,'Partial Payment Log'!$C$4:$C$501,A221))</f>
        <v/>
      </c>
      <c r="Q221" s="10" t="str">
        <f>IF(A221="","",K221-P221)</f>
        <v/>
      </c>
      <c r="R221" s="6" t="str">
        <f>IF(A221="","",IF(Q221&lt;=0,IF(Q221&lt;0,"Overpaid","Paid"),IF(P221&gt;0,"Part Paid","Unpaid")))</f>
        <v/>
      </c>
    </row>
    <row r="222" spans="1:18" ht="15">
      <c r="A222" s="5"/>
      <c r="B222" s="5"/>
      <c r="C222" s="8"/>
      <c r="D222" s="9"/>
      <c r="E222" s="10"/>
      <c r="F222" s="10" t="str">
        <f t="shared" si="18"/>
        <v/>
      </c>
      <c r="G222" s="9"/>
      <c r="H222" s="10" t="str">
        <f t="shared" si="19"/>
        <v/>
      </c>
      <c r="I222" s="10" t="str">
        <f t="shared" si="20"/>
        <v/>
      </c>
      <c r="J222" s="10" t="str">
        <f t="shared" si="21"/>
        <v/>
      </c>
      <c r="K222" s="10" t="str">
        <f t="shared" si="22"/>
        <v/>
      </c>
      <c r="L222" s="6"/>
      <c r="M222" s="8" t="str">
        <f>IF(OR(C222="",L222=""),"",C222+L222)</f>
        <v/>
      </c>
      <c r="N222" s="11" t="str">
        <f t="shared" ca="1" si="23"/>
        <v/>
      </c>
      <c r="O222" s="7" t="str">
        <f>IF(L222="","",L222&amp;" Day Due")</f>
        <v/>
      </c>
      <c r="P222" s="10" t="str">
        <f>IF(A222="","",SUMIFS('Partial Payment Log'!$E$4:$E$501,'Partial Payment Log'!$C$4:$C$501,A222))</f>
        <v/>
      </c>
      <c r="Q222" s="10" t="str">
        <f>IF(A222="","",K222-P222)</f>
        <v/>
      </c>
      <c r="R222" s="6" t="str">
        <f>IF(A222="","",IF(Q222&lt;=0,IF(Q222&lt;0,"Overpaid","Paid"),IF(P222&gt;0,"Part Paid","Unpaid")))</f>
        <v/>
      </c>
    </row>
    <row r="223" spans="1:18" ht="15">
      <c r="A223" s="5"/>
      <c r="B223" s="5"/>
      <c r="C223" s="8"/>
      <c r="D223" s="9"/>
      <c r="E223" s="10"/>
      <c r="F223" s="10" t="str">
        <f t="shared" si="18"/>
        <v/>
      </c>
      <c r="G223" s="9"/>
      <c r="H223" s="10" t="str">
        <f t="shared" si="19"/>
        <v/>
      </c>
      <c r="I223" s="10" t="str">
        <f t="shared" si="20"/>
        <v/>
      </c>
      <c r="J223" s="10" t="str">
        <f t="shared" si="21"/>
        <v/>
      </c>
      <c r="K223" s="10" t="str">
        <f t="shared" si="22"/>
        <v/>
      </c>
      <c r="L223" s="6"/>
      <c r="M223" s="8" t="str">
        <f>IF(OR(C223="",L223=""),"",C223+L223)</f>
        <v/>
      </c>
      <c r="N223" s="11" t="str">
        <f t="shared" ca="1" si="23"/>
        <v/>
      </c>
      <c r="O223" s="7" t="str">
        <f>IF(L223="","",L223&amp;" Day Due")</f>
        <v/>
      </c>
      <c r="P223" s="10" t="str">
        <f>IF(A223="","",SUMIFS('Partial Payment Log'!$E$4:$E$501,'Partial Payment Log'!$C$4:$C$501,A223))</f>
        <v/>
      </c>
      <c r="Q223" s="10" t="str">
        <f>IF(A223="","",K223-P223)</f>
        <v/>
      </c>
      <c r="R223" s="6" t="str">
        <f>IF(A223="","",IF(Q223&lt;=0,IF(Q223&lt;0,"Overpaid","Paid"),IF(P223&gt;0,"Part Paid","Unpaid")))</f>
        <v/>
      </c>
    </row>
    <row r="224" spans="1:18" ht="15">
      <c r="A224" s="5"/>
      <c r="B224" s="5"/>
      <c r="C224" s="8"/>
      <c r="D224" s="9"/>
      <c r="E224" s="10"/>
      <c r="F224" s="10" t="str">
        <f t="shared" si="18"/>
        <v/>
      </c>
      <c r="G224" s="9"/>
      <c r="H224" s="10" t="str">
        <f t="shared" si="19"/>
        <v/>
      </c>
      <c r="I224" s="10" t="str">
        <f t="shared" si="20"/>
        <v/>
      </c>
      <c r="J224" s="10" t="str">
        <f t="shared" si="21"/>
        <v/>
      </c>
      <c r="K224" s="10" t="str">
        <f t="shared" si="22"/>
        <v/>
      </c>
      <c r="L224" s="6"/>
      <c r="M224" s="8" t="str">
        <f>IF(OR(C224="",L224=""),"",C224+L224)</f>
        <v/>
      </c>
      <c r="N224" s="11" t="str">
        <f t="shared" ca="1" si="23"/>
        <v/>
      </c>
      <c r="O224" s="7" t="str">
        <f>IF(L224="","",L224&amp;" Day Due")</f>
        <v/>
      </c>
      <c r="P224" s="10" t="str">
        <f>IF(A224="","",SUMIFS('Partial Payment Log'!$E$4:$E$501,'Partial Payment Log'!$C$4:$C$501,A224))</f>
        <v/>
      </c>
      <c r="Q224" s="10" t="str">
        <f>IF(A224="","",K224-P224)</f>
        <v/>
      </c>
      <c r="R224" s="6" t="str">
        <f>IF(A224="","",IF(Q224&lt;=0,IF(Q224&lt;0,"Overpaid","Paid"),IF(P224&gt;0,"Part Paid","Unpaid")))</f>
        <v/>
      </c>
    </row>
    <row r="225" spans="1:18" ht="15">
      <c r="A225" s="5"/>
      <c r="B225" s="5"/>
      <c r="C225" s="8"/>
      <c r="D225" s="9"/>
      <c r="E225" s="10"/>
      <c r="F225" s="10" t="str">
        <f t="shared" si="18"/>
        <v/>
      </c>
      <c r="G225" s="9"/>
      <c r="H225" s="10" t="str">
        <f t="shared" si="19"/>
        <v/>
      </c>
      <c r="I225" s="10" t="str">
        <f t="shared" si="20"/>
        <v/>
      </c>
      <c r="J225" s="10" t="str">
        <f t="shared" si="21"/>
        <v/>
      </c>
      <c r="K225" s="10" t="str">
        <f t="shared" si="22"/>
        <v/>
      </c>
      <c r="L225" s="6"/>
      <c r="M225" s="8" t="str">
        <f>IF(OR(C225="",L225=""),"",C225+L225)</f>
        <v/>
      </c>
      <c r="N225" s="11" t="str">
        <f t="shared" ca="1" si="23"/>
        <v/>
      </c>
      <c r="O225" s="7" t="str">
        <f>IF(L225="","",L225&amp;" Day Due")</f>
        <v/>
      </c>
      <c r="P225" s="10" t="str">
        <f>IF(A225="","",SUMIFS('Partial Payment Log'!$E$4:$E$501,'Partial Payment Log'!$C$4:$C$501,A225))</f>
        <v/>
      </c>
      <c r="Q225" s="10" t="str">
        <f>IF(A225="","",K225-P225)</f>
        <v/>
      </c>
      <c r="R225" s="6" t="str">
        <f>IF(A225="","",IF(Q225&lt;=0,IF(Q225&lt;0,"Overpaid","Paid"),IF(P225&gt;0,"Part Paid","Unpaid")))</f>
        <v/>
      </c>
    </row>
    <row r="226" spans="1:18" ht="15">
      <c r="A226" s="5"/>
      <c r="B226" s="5"/>
      <c r="C226" s="8"/>
      <c r="D226" s="9"/>
      <c r="E226" s="10"/>
      <c r="F226" s="10" t="str">
        <f t="shared" si="18"/>
        <v/>
      </c>
      <c r="G226" s="9"/>
      <c r="H226" s="10" t="str">
        <f t="shared" si="19"/>
        <v/>
      </c>
      <c r="I226" s="10" t="str">
        <f t="shared" si="20"/>
        <v/>
      </c>
      <c r="J226" s="10" t="str">
        <f t="shared" si="21"/>
        <v/>
      </c>
      <c r="K226" s="10" t="str">
        <f t="shared" si="22"/>
        <v/>
      </c>
      <c r="L226" s="6"/>
      <c r="M226" s="8" t="str">
        <f>IF(OR(C226="",L226=""),"",C226+L226)</f>
        <v/>
      </c>
      <c r="N226" s="11" t="str">
        <f t="shared" ca="1" si="23"/>
        <v/>
      </c>
      <c r="O226" s="7" t="str">
        <f>IF(L226="","",L226&amp;" Day Due")</f>
        <v/>
      </c>
      <c r="P226" s="10" t="str">
        <f>IF(A226="","",SUMIFS('Partial Payment Log'!$E$4:$E$501,'Partial Payment Log'!$C$4:$C$501,A226))</f>
        <v/>
      </c>
      <c r="Q226" s="10" t="str">
        <f>IF(A226="","",K226-P226)</f>
        <v/>
      </c>
      <c r="R226" s="6" t="str">
        <f>IF(A226="","",IF(Q226&lt;=0,IF(Q226&lt;0,"Overpaid","Paid"),IF(P226&gt;0,"Part Paid","Unpaid")))</f>
        <v/>
      </c>
    </row>
    <row r="227" spans="1:18" ht="15">
      <c r="A227" s="5"/>
      <c r="B227" s="5"/>
      <c r="C227" s="8"/>
      <c r="D227" s="9"/>
      <c r="E227" s="10"/>
      <c r="F227" s="10" t="str">
        <f t="shared" si="18"/>
        <v/>
      </c>
      <c r="G227" s="9"/>
      <c r="H227" s="10" t="str">
        <f t="shared" si="19"/>
        <v/>
      </c>
      <c r="I227" s="10" t="str">
        <f t="shared" si="20"/>
        <v/>
      </c>
      <c r="J227" s="10" t="str">
        <f t="shared" si="21"/>
        <v/>
      </c>
      <c r="K227" s="10" t="str">
        <f t="shared" si="22"/>
        <v/>
      </c>
      <c r="L227" s="6"/>
      <c r="M227" s="8" t="str">
        <f>IF(OR(C227="",L227=""),"",C227+L227)</f>
        <v/>
      </c>
      <c r="N227" s="11" t="str">
        <f t="shared" ca="1" si="23"/>
        <v/>
      </c>
      <c r="O227" s="7" t="str">
        <f>IF(L227="","",L227&amp;" Day Due")</f>
        <v/>
      </c>
      <c r="P227" s="10" t="str">
        <f>IF(A227="","",SUMIFS('Partial Payment Log'!$E$4:$E$501,'Partial Payment Log'!$C$4:$C$501,A227))</f>
        <v/>
      </c>
      <c r="Q227" s="10" t="str">
        <f>IF(A227="","",K227-P227)</f>
        <v/>
      </c>
      <c r="R227" s="6" t="str">
        <f>IF(A227="","",IF(Q227&lt;=0,IF(Q227&lt;0,"Overpaid","Paid"),IF(P227&gt;0,"Part Paid","Unpaid")))</f>
        <v/>
      </c>
    </row>
    <row r="228" spans="1:18" ht="15">
      <c r="A228" s="5"/>
      <c r="B228" s="5"/>
      <c r="C228" s="8"/>
      <c r="D228" s="9"/>
      <c r="E228" s="10"/>
      <c r="F228" s="10" t="str">
        <f t="shared" si="18"/>
        <v/>
      </c>
      <c r="G228" s="9"/>
      <c r="H228" s="10" t="str">
        <f t="shared" si="19"/>
        <v/>
      </c>
      <c r="I228" s="10" t="str">
        <f t="shared" si="20"/>
        <v/>
      </c>
      <c r="J228" s="10" t="str">
        <f t="shared" si="21"/>
        <v/>
      </c>
      <c r="K228" s="10" t="str">
        <f t="shared" si="22"/>
        <v/>
      </c>
      <c r="L228" s="6"/>
      <c r="M228" s="8" t="str">
        <f>IF(OR(C228="",L228=""),"",C228+L228)</f>
        <v/>
      </c>
      <c r="N228" s="11" t="str">
        <f t="shared" ca="1" si="23"/>
        <v/>
      </c>
      <c r="O228" s="7" t="str">
        <f>IF(L228="","",L228&amp;" Day Due")</f>
        <v/>
      </c>
      <c r="P228" s="10" t="str">
        <f>IF(A228="","",SUMIFS('Partial Payment Log'!$E$4:$E$501,'Partial Payment Log'!$C$4:$C$501,A228))</f>
        <v/>
      </c>
      <c r="Q228" s="10" t="str">
        <f>IF(A228="","",K228-P228)</f>
        <v/>
      </c>
      <c r="R228" s="6" t="str">
        <f>IF(A228="","",IF(Q228&lt;=0,IF(Q228&lt;0,"Overpaid","Paid"),IF(P228&gt;0,"Part Paid","Unpaid")))</f>
        <v/>
      </c>
    </row>
    <row r="229" spans="1:18" ht="15">
      <c r="A229" s="5"/>
      <c r="B229" s="5"/>
      <c r="C229" s="8"/>
      <c r="D229" s="9"/>
      <c r="E229" s="10"/>
      <c r="F229" s="10" t="str">
        <f t="shared" si="18"/>
        <v/>
      </c>
      <c r="G229" s="9"/>
      <c r="H229" s="10" t="str">
        <f t="shared" si="19"/>
        <v/>
      </c>
      <c r="I229" s="10" t="str">
        <f t="shared" si="20"/>
        <v/>
      </c>
      <c r="J229" s="10" t="str">
        <f t="shared" si="21"/>
        <v/>
      </c>
      <c r="K229" s="10" t="str">
        <f t="shared" si="22"/>
        <v/>
      </c>
      <c r="L229" s="6"/>
      <c r="M229" s="8" t="str">
        <f>IF(OR(C229="",L229=""),"",C229+L229)</f>
        <v/>
      </c>
      <c r="N229" s="11" t="str">
        <f t="shared" ca="1" si="23"/>
        <v/>
      </c>
      <c r="O229" s="7" t="str">
        <f>IF(L229="","",L229&amp;" Day Due")</f>
        <v/>
      </c>
      <c r="P229" s="10" t="str">
        <f>IF(A229="","",SUMIFS('Partial Payment Log'!$E$4:$E$501,'Partial Payment Log'!$C$4:$C$501,A229))</f>
        <v/>
      </c>
      <c r="Q229" s="10" t="str">
        <f>IF(A229="","",K229-P229)</f>
        <v/>
      </c>
      <c r="R229" s="6" t="str">
        <f>IF(A229="","",IF(Q229&lt;=0,IF(Q229&lt;0,"Overpaid","Paid"),IF(P229&gt;0,"Part Paid","Unpaid")))</f>
        <v/>
      </c>
    </row>
    <row r="230" spans="1:18" ht="15">
      <c r="A230" s="5"/>
      <c r="B230" s="5"/>
      <c r="C230" s="8"/>
      <c r="D230" s="9"/>
      <c r="E230" s="10"/>
      <c r="F230" s="10" t="str">
        <f t="shared" si="18"/>
        <v/>
      </c>
      <c r="G230" s="9"/>
      <c r="H230" s="10" t="str">
        <f t="shared" si="19"/>
        <v/>
      </c>
      <c r="I230" s="10" t="str">
        <f t="shared" si="20"/>
        <v/>
      </c>
      <c r="J230" s="10" t="str">
        <f t="shared" si="21"/>
        <v/>
      </c>
      <c r="K230" s="10" t="str">
        <f t="shared" si="22"/>
        <v/>
      </c>
      <c r="L230" s="6"/>
      <c r="M230" s="8" t="str">
        <f>IF(OR(C230="",L230=""),"",C230+L230)</f>
        <v/>
      </c>
      <c r="N230" s="11" t="str">
        <f t="shared" ca="1" si="23"/>
        <v/>
      </c>
      <c r="O230" s="7" t="str">
        <f>IF(L230="","",L230&amp;" Day Due")</f>
        <v/>
      </c>
      <c r="P230" s="10" t="str">
        <f>IF(A230="","",SUMIFS('Partial Payment Log'!$E$4:$E$501,'Partial Payment Log'!$C$4:$C$501,A230))</f>
        <v/>
      </c>
      <c r="Q230" s="10" t="str">
        <f>IF(A230="","",K230-P230)</f>
        <v/>
      </c>
      <c r="R230" s="6" t="str">
        <f>IF(A230="","",IF(Q230&lt;=0,IF(Q230&lt;0,"Overpaid","Paid"),IF(P230&gt;0,"Part Paid","Unpaid")))</f>
        <v/>
      </c>
    </row>
    <row r="231" spans="1:18" ht="15">
      <c r="A231" s="5"/>
      <c r="B231" s="5"/>
      <c r="C231" s="8"/>
      <c r="D231" s="9"/>
      <c r="E231" s="10"/>
      <c r="F231" s="10" t="str">
        <f t="shared" si="18"/>
        <v/>
      </c>
      <c r="G231" s="9"/>
      <c r="H231" s="10" t="str">
        <f t="shared" si="19"/>
        <v/>
      </c>
      <c r="I231" s="10" t="str">
        <f t="shared" si="20"/>
        <v/>
      </c>
      <c r="J231" s="10" t="str">
        <f t="shared" si="21"/>
        <v/>
      </c>
      <c r="K231" s="10" t="str">
        <f t="shared" si="22"/>
        <v/>
      </c>
      <c r="L231" s="6"/>
      <c r="M231" s="8" t="str">
        <f>IF(OR(C231="",L231=""),"",C231+L231)</f>
        <v/>
      </c>
      <c r="N231" s="11" t="str">
        <f t="shared" ca="1" si="23"/>
        <v/>
      </c>
      <c r="O231" s="7" t="str">
        <f>IF(L231="","",L231&amp;" Day Due")</f>
        <v/>
      </c>
      <c r="P231" s="10" t="str">
        <f>IF(A231="","",SUMIFS('Partial Payment Log'!$E$4:$E$501,'Partial Payment Log'!$C$4:$C$501,A231))</f>
        <v/>
      </c>
      <c r="Q231" s="10" t="str">
        <f>IF(A231="","",K231-P231)</f>
        <v/>
      </c>
      <c r="R231" s="6" t="str">
        <f>IF(A231="","",IF(Q231&lt;=0,IF(Q231&lt;0,"Overpaid","Paid"),IF(P231&gt;0,"Part Paid","Unpaid")))</f>
        <v/>
      </c>
    </row>
    <row r="232" spans="1:18" ht="15">
      <c r="A232" s="5"/>
      <c r="B232" s="5"/>
      <c r="C232" s="8"/>
      <c r="D232" s="9"/>
      <c r="E232" s="10"/>
      <c r="F232" s="10" t="str">
        <f t="shared" si="18"/>
        <v/>
      </c>
      <c r="G232" s="9"/>
      <c r="H232" s="10" t="str">
        <f t="shared" si="19"/>
        <v/>
      </c>
      <c r="I232" s="10" t="str">
        <f t="shared" si="20"/>
        <v/>
      </c>
      <c r="J232" s="10" t="str">
        <f t="shared" si="21"/>
        <v/>
      </c>
      <c r="K232" s="10" t="str">
        <f t="shared" si="22"/>
        <v/>
      </c>
      <c r="L232" s="6"/>
      <c r="M232" s="8" t="str">
        <f>IF(OR(C232="",L232=""),"",C232+L232)</f>
        <v/>
      </c>
      <c r="N232" s="11" t="str">
        <f t="shared" ca="1" si="23"/>
        <v/>
      </c>
      <c r="O232" s="7" t="str">
        <f>IF(L232="","",L232&amp;" Day Due")</f>
        <v/>
      </c>
      <c r="P232" s="10" t="str">
        <f>IF(A232="","",SUMIFS('Partial Payment Log'!$E$4:$E$501,'Partial Payment Log'!$C$4:$C$501,A232))</f>
        <v/>
      </c>
      <c r="Q232" s="10" t="str">
        <f>IF(A232="","",K232-P232)</f>
        <v/>
      </c>
      <c r="R232" s="6" t="str">
        <f>IF(A232="","",IF(Q232&lt;=0,IF(Q232&lt;0,"Overpaid","Paid"),IF(P232&gt;0,"Part Paid","Unpaid")))</f>
        <v/>
      </c>
    </row>
    <row r="233" spans="1:18" ht="15">
      <c r="A233" s="5"/>
      <c r="B233" s="5"/>
      <c r="C233" s="8"/>
      <c r="D233" s="9"/>
      <c r="E233" s="10"/>
      <c r="F233" s="10" t="str">
        <f t="shared" si="18"/>
        <v/>
      </c>
      <c r="G233" s="9"/>
      <c r="H233" s="10" t="str">
        <f t="shared" si="19"/>
        <v/>
      </c>
      <c r="I233" s="10" t="str">
        <f t="shared" si="20"/>
        <v/>
      </c>
      <c r="J233" s="10" t="str">
        <f t="shared" si="21"/>
        <v/>
      </c>
      <c r="K233" s="10" t="str">
        <f t="shared" si="22"/>
        <v/>
      </c>
      <c r="L233" s="6"/>
      <c r="M233" s="8" t="str">
        <f>IF(OR(C233="",L233=""),"",C233+L233)</f>
        <v/>
      </c>
      <c r="N233" s="11" t="str">
        <f t="shared" ca="1" si="23"/>
        <v/>
      </c>
      <c r="O233" s="7" t="str">
        <f>IF(L233="","",L233&amp;" Day Due")</f>
        <v/>
      </c>
      <c r="P233" s="10" t="str">
        <f>IF(A233="","",SUMIFS('Partial Payment Log'!$E$4:$E$501,'Partial Payment Log'!$C$4:$C$501,A233))</f>
        <v/>
      </c>
      <c r="Q233" s="10" t="str">
        <f>IF(A233="","",K233-P233)</f>
        <v/>
      </c>
      <c r="R233" s="6" t="str">
        <f>IF(A233="","",IF(Q233&lt;=0,IF(Q233&lt;0,"Overpaid","Paid"),IF(P233&gt;0,"Part Paid","Unpaid")))</f>
        <v/>
      </c>
    </row>
    <row r="234" spans="1:18" ht="15">
      <c r="A234" s="5"/>
      <c r="B234" s="5"/>
      <c r="C234" s="8"/>
      <c r="D234" s="9"/>
      <c r="E234" s="10"/>
      <c r="F234" s="10" t="str">
        <f t="shared" si="18"/>
        <v/>
      </c>
      <c r="G234" s="9"/>
      <c r="H234" s="10" t="str">
        <f t="shared" si="19"/>
        <v/>
      </c>
      <c r="I234" s="10" t="str">
        <f t="shared" si="20"/>
        <v/>
      </c>
      <c r="J234" s="10" t="str">
        <f t="shared" si="21"/>
        <v/>
      </c>
      <c r="K234" s="10" t="str">
        <f t="shared" si="22"/>
        <v/>
      </c>
      <c r="L234" s="6"/>
      <c r="M234" s="8" t="str">
        <f>IF(OR(C234="",L234=""),"",C234+L234)</f>
        <v/>
      </c>
      <c r="N234" s="11" t="str">
        <f t="shared" ca="1" si="23"/>
        <v/>
      </c>
      <c r="O234" s="7" t="str">
        <f>IF(L234="","",L234&amp;" Day Due")</f>
        <v/>
      </c>
      <c r="P234" s="10" t="str">
        <f>IF(A234="","",SUMIFS('Partial Payment Log'!$E$4:$E$501,'Partial Payment Log'!$C$4:$C$501,A234))</f>
        <v/>
      </c>
      <c r="Q234" s="10" t="str">
        <f>IF(A234="","",K234-P234)</f>
        <v/>
      </c>
      <c r="R234" s="6" t="str">
        <f>IF(A234="","",IF(Q234&lt;=0,IF(Q234&lt;0,"Overpaid","Paid"),IF(P234&gt;0,"Part Paid","Unpaid")))</f>
        <v/>
      </c>
    </row>
    <row r="235" spans="1:18" ht="15">
      <c r="A235" s="5"/>
      <c r="B235" s="5"/>
      <c r="C235" s="8"/>
      <c r="D235" s="9"/>
      <c r="E235" s="10"/>
      <c r="F235" s="10" t="str">
        <f t="shared" si="18"/>
        <v/>
      </c>
      <c r="G235" s="9"/>
      <c r="H235" s="10" t="str">
        <f t="shared" si="19"/>
        <v/>
      </c>
      <c r="I235" s="10" t="str">
        <f t="shared" si="20"/>
        <v/>
      </c>
      <c r="J235" s="10" t="str">
        <f t="shared" si="21"/>
        <v/>
      </c>
      <c r="K235" s="10" t="str">
        <f t="shared" si="22"/>
        <v/>
      </c>
      <c r="L235" s="6"/>
      <c r="M235" s="8" t="str">
        <f>IF(OR(C235="",L235=""),"",C235+L235)</f>
        <v/>
      </c>
      <c r="N235" s="11" t="str">
        <f t="shared" ca="1" si="23"/>
        <v/>
      </c>
      <c r="O235" s="7" t="str">
        <f>IF(L235="","",L235&amp;" Day Due")</f>
        <v/>
      </c>
      <c r="P235" s="10" t="str">
        <f>IF(A235="","",SUMIFS('Partial Payment Log'!$E$4:$E$501,'Partial Payment Log'!$C$4:$C$501,A235))</f>
        <v/>
      </c>
      <c r="Q235" s="10" t="str">
        <f>IF(A235="","",K235-P235)</f>
        <v/>
      </c>
      <c r="R235" s="6" t="str">
        <f>IF(A235="","",IF(Q235&lt;=0,IF(Q235&lt;0,"Overpaid","Paid"),IF(P235&gt;0,"Part Paid","Unpaid")))</f>
        <v/>
      </c>
    </row>
    <row r="236" spans="1:18" ht="15">
      <c r="A236" s="5"/>
      <c r="B236" s="5"/>
      <c r="C236" s="8"/>
      <c r="D236" s="9"/>
      <c r="E236" s="10"/>
      <c r="F236" s="10" t="str">
        <f t="shared" si="18"/>
        <v/>
      </c>
      <c r="G236" s="9"/>
      <c r="H236" s="10" t="str">
        <f t="shared" si="19"/>
        <v/>
      </c>
      <c r="I236" s="10" t="str">
        <f t="shared" si="20"/>
        <v/>
      </c>
      <c r="J236" s="10" t="str">
        <f t="shared" si="21"/>
        <v/>
      </c>
      <c r="K236" s="10" t="str">
        <f t="shared" si="22"/>
        <v/>
      </c>
      <c r="L236" s="6"/>
      <c r="M236" s="8" t="str">
        <f>IF(OR(C236="",L236=""),"",C236+L236)</f>
        <v/>
      </c>
      <c r="N236" s="11" t="str">
        <f t="shared" ca="1" si="23"/>
        <v/>
      </c>
      <c r="O236" s="7" t="str">
        <f>IF(L236="","",L236&amp;" Day Due")</f>
        <v/>
      </c>
      <c r="P236" s="10" t="str">
        <f>IF(A236="","",SUMIFS('Partial Payment Log'!$E$4:$E$501,'Partial Payment Log'!$C$4:$C$501,A236))</f>
        <v/>
      </c>
      <c r="Q236" s="10" t="str">
        <f>IF(A236="","",K236-P236)</f>
        <v/>
      </c>
      <c r="R236" s="6" t="str">
        <f>IF(A236="","",IF(Q236&lt;=0,IF(Q236&lt;0,"Overpaid","Paid"),IF(P236&gt;0,"Part Paid","Unpaid")))</f>
        <v/>
      </c>
    </row>
    <row r="237" spans="1:18" ht="15">
      <c r="A237" s="5"/>
      <c r="B237" s="5"/>
      <c r="C237" s="8"/>
      <c r="D237" s="9"/>
      <c r="E237" s="10"/>
      <c r="F237" s="10" t="str">
        <f t="shared" si="18"/>
        <v/>
      </c>
      <c r="G237" s="9"/>
      <c r="H237" s="10" t="str">
        <f t="shared" si="19"/>
        <v/>
      </c>
      <c r="I237" s="10" t="str">
        <f t="shared" si="20"/>
        <v/>
      </c>
      <c r="J237" s="10" t="str">
        <f t="shared" si="21"/>
        <v/>
      </c>
      <c r="K237" s="10" t="str">
        <f t="shared" si="22"/>
        <v/>
      </c>
      <c r="L237" s="6"/>
      <c r="M237" s="8" t="str">
        <f>IF(OR(C237="",L237=""),"",C237+L237)</f>
        <v/>
      </c>
      <c r="N237" s="11" t="str">
        <f t="shared" ca="1" si="23"/>
        <v/>
      </c>
      <c r="O237" s="7" t="str">
        <f>IF(L237="","",L237&amp;" Day Due")</f>
        <v/>
      </c>
      <c r="P237" s="10" t="str">
        <f>IF(A237="","",SUMIFS('Partial Payment Log'!$E$4:$E$501,'Partial Payment Log'!$C$4:$C$501,A237))</f>
        <v/>
      </c>
      <c r="Q237" s="10" t="str">
        <f>IF(A237="","",K237-P237)</f>
        <v/>
      </c>
      <c r="R237" s="6" t="str">
        <f>IF(A237="","",IF(Q237&lt;=0,IF(Q237&lt;0,"Overpaid","Paid"),IF(P237&gt;0,"Part Paid","Unpaid")))</f>
        <v/>
      </c>
    </row>
    <row r="238" spans="1:18" ht="15">
      <c r="A238" s="5"/>
      <c r="B238" s="5"/>
      <c r="C238" s="8"/>
      <c r="D238" s="9"/>
      <c r="E238" s="10"/>
      <c r="F238" s="10" t="str">
        <f t="shared" si="18"/>
        <v/>
      </c>
      <c r="G238" s="9"/>
      <c r="H238" s="10" t="str">
        <f t="shared" si="19"/>
        <v/>
      </c>
      <c r="I238" s="10" t="str">
        <f t="shared" si="20"/>
        <v/>
      </c>
      <c r="J238" s="10" t="str">
        <f t="shared" si="21"/>
        <v/>
      </c>
      <c r="K238" s="10" t="str">
        <f t="shared" si="22"/>
        <v/>
      </c>
      <c r="L238" s="6"/>
      <c r="M238" s="8" t="str">
        <f>IF(OR(C238="",L238=""),"",C238+L238)</f>
        <v/>
      </c>
      <c r="N238" s="11" t="str">
        <f t="shared" ca="1" si="23"/>
        <v/>
      </c>
      <c r="O238" s="7" t="str">
        <f>IF(L238="","",L238&amp;" Day Due")</f>
        <v/>
      </c>
      <c r="P238" s="10" t="str">
        <f>IF(A238="","",SUMIFS('Partial Payment Log'!$E$4:$E$501,'Partial Payment Log'!$C$4:$C$501,A238))</f>
        <v/>
      </c>
      <c r="Q238" s="10" t="str">
        <f>IF(A238="","",K238-P238)</f>
        <v/>
      </c>
      <c r="R238" s="6" t="str">
        <f>IF(A238="","",IF(Q238&lt;=0,IF(Q238&lt;0,"Overpaid","Paid"),IF(P238&gt;0,"Part Paid","Unpaid")))</f>
        <v/>
      </c>
    </row>
    <row r="239" spans="1:18" ht="15">
      <c r="A239" s="5"/>
      <c r="B239" s="5"/>
      <c r="C239" s="8"/>
      <c r="D239" s="9"/>
      <c r="E239" s="10"/>
      <c r="F239" s="10" t="str">
        <f t="shared" si="18"/>
        <v/>
      </c>
      <c r="G239" s="9"/>
      <c r="H239" s="10" t="str">
        <f t="shared" si="19"/>
        <v/>
      </c>
      <c r="I239" s="10" t="str">
        <f t="shared" si="20"/>
        <v/>
      </c>
      <c r="J239" s="10" t="str">
        <f t="shared" si="21"/>
        <v/>
      </c>
      <c r="K239" s="10" t="str">
        <f t="shared" si="22"/>
        <v/>
      </c>
      <c r="L239" s="6"/>
      <c r="M239" s="8" t="str">
        <f>IF(OR(C239="",L239=""),"",C239+L239)</f>
        <v/>
      </c>
      <c r="N239" s="11" t="str">
        <f t="shared" ca="1" si="23"/>
        <v/>
      </c>
      <c r="O239" s="7" t="str">
        <f>IF(L239="","",L239&amp;" Day Due")</f>
        <v/>
      </c>
      <c r="P239" s="10" t="str">
        <f>IF(A239="","",SUMIFS('Partial Payment Log'!$E$4:$E$501,'Partial Payment Log'!$C$4:$C$501,A239))</f>
        <v/>
      </c>
      <c r="Q239" s="10" t="str">
        <f>IF(A239="","",K239-P239)</f>
        <v/>
      </c>
      <c r="R239" s="6" t="str">
        <f>IF(A239="","",IF(Q239&lt;=0,IF(Q239&lt;0,"Overpaid","Paid"),IF(P239&gt;0,"Part Paid","Unpaid")))</f>
        <v/>
      </c>
    </row>
    <row r="240" spans="1:18" ht="15">
      <c r="A240" s="5"/>
      <c r="B240" s="5"/>
      <c r="C240" s="8"/>
      <c r="D240" s="9"/>
      <c r="E240" s="10"/>
      <c r="F240" s="10" t="str">
        <f t="shared" si="18"/>
        <v/>
      </c>
      <c r="G240" s="9"/>
      <c r="H240" s="10" t="str">
        <f t="shared" si="19"/>
        <v/>
      </c>
      <c r="I240" s="10" t="str">
        <f t="shared" si="20"/>
        <v/>
      </c>
      <c r="J240" s="10" t="str">
        <f t="shared" si="21"/>
        <v/>
      </c>
      <c r="K240" s="10" t="str">
        <f t="shared" si="22"/>
        <v/>
      </c>
      <c r="L240" s="6"/>
      <c r="M240" s="8" t="str">
        <f>IF(OR(C240="",L240=""),"",C240+L240)</f>
        <v/>
      </c>
      <c r="N240" s="11" t="str">
        <f t="shared" ca="1" si="23"/>
        <v/>
      </c>
      <c r="O240" s="7" t="str">
        <f>IF(L240="","",L240&amp;" Day Due")</f>
        <v/>
      </c>
      <c r="P240" s="10" t="str">
        <f>IF(A240="","",SUMIFS('Partial Payment Log'!$E$4:$E$501,'Partial Payment Log'!$C$4:$C$501,A240))</f>
        <v/>
      </c>
      <c r="Q240" s="10" t="str">
        <f>IF(A240="","",K240-P240)</f>
        <v/>
      </c>
      <c r="R240" s="6" t="str">
        <f>IF(A240="","",IF(Q240&lt;=0,IF(Q240&lt;0,"Overpaid","Paid"),IF(P240&gt;0,"Part Paid","Unpaid")))</f>
        <v/>
      </c>
    </row>
    <row r="241" spans="1:18" ht="15">
      <c r="A241" s="5"/>
      <c r="B241" s="5"/>
      <c r="C241" s="8"/>
      <c r="D241" s="9"/>
      <c r="E241" s="10"/>
      <c r="F241" s="10" t="str">
        <f t="shared" si="18"/>
        <v/>
      </c>
      <c r="G241" s="9"/>
      <c r="H241" s="10" t="str">
        <f t="shared" si="19"/>
        <v/>
      </c>
      <c r="I241" s="10" t="str">
        <f t="shared" si="20"/>
        <v/>
      </c>
      <c r="J241" s="10" t="str">
        <f t="shared" si="21"/>
        <v/>
      </c>
      <c r="K241" s="10" t="str">
        <f t="shared" si="22"/>
        <v/>
      </c>
      <c r="L241" s="6"/>
      <c r="M241" s="8" t="str">
        <f>IF(OR(C241="",L241=""),"",C241+L241)</f>
        <v/>
      </c>
      <c r="N241" s="11" t="str">
        <f t="shared" ca="1" si="23"/>
        <v/>
      </c>
      <c r="O241" s="7" t="str">
        <f>IF(L241="","",L241&amp;" Day Due")</f>
        <v/>
      </c>
      <c r="P241" s="10" t="str">
        <f>IF(A241="","",SUMIFS('Partial Payment Log'!$E$4:$E$501,'Partial Payment Log'!$C$4:$C$501,A241))</f>
        <v/>
      </c>
      <c r="Q241" s="10" t="str">
        <f>IF(A241="","",K241-P241)</f>
        <v/>
      </c>
      <c r="R241" s="6" t="str">
        <f>IF(A241="","",IF(Q241&lt;=0,IF(Q241&lt;0,"Overpaid","Paid"),IF(P241&gt;0,"Part Paid","Unpaid")))</f>
        <v/>
      </c>
    </row>
    <row r="242" spans="1:18" ht="15">
      <c r="A242" s="5"/>
      <c r="B242" s="5"/>
      <c r="C242" s="8"/>
      <c r="D242" s="9"/>
      <c r="E242" s="10"/>
      <c r="F242" s="10" t="str">
        <f t="shared" si="18"/>
        <v/>
      </c>
      <c r="G242" s="9"/>
      <c r="H242" s="10" t="str">
        <f t="shared" si="19"/>
        <v/>
      </c>
      <c r="I242" s="10" t="str">
        <f t="shared" si="20"/>
        <v/>
      </c>
      <c r="J242" s="10" t="str">
        <f t="shared" si="21"/>
        <v/>
      </c>
      <c r="K242" s="10" t="str">
        <f t="shared" si="22"/>
        <v/>
      </c>
      <c r="L242" s="6"/>
      <c r="M242" s="8" t="str">
        <f>IF(OR(C242="",L242=""),"",C242+L242)</f>
        <v/>
      </c>
      <c r="N242" s="11" t="str">
        <f t="shared" ca="1" si="23"/>
        <v/>
      </c>
      <c r="O242" s="7" t="str">
        <f>IF(L242="","",L242&amp;" Day Due")</f>
        <v/>
      </c>
      <c r="P242" s="10" t="str">
        <f>IF(A242="","",SUMIFS('Partial Payment Log'!$E$4:$E$501,'Partial Payment Log'!$C$4:$C$501,A242))</f>
        <v/>
      </c>
      <c r="Q242" s="10" t="str">
        <f>IF(A242="","",K242-P242)</f>
        <v/>
      </c>
      <c r="R242" s="6" t="str">
        <f>IF(A242="","",IF(Q242&lt;=0,IF(Q242&lt;0,"Overpaid","Paid"),IF(P242&gt;0,"Part Paid","Unpaid")))</f>
        <v/>
      </c>
    </row>
    <row r="243" spans="1:18" ht="15">
      <c r="A243" s="5"/>
      <c r="B243" s="5"/>
      <c r="C243" s="8"/>
      <c r="D243" s="9"/>
      <c r="E243" s="10"/>
      <c r="F243" s="10" t="str">
        <f t="shared" si="18"/>
        <v/>
      </c>
      <c r="G243" s="9"/>
      <c r="H243" s="10" t="str">
        <f t="shared" si="19"/>
        <v/>
      </c>
      <c r="I243" s="10" t="str">
        <f t="shared" si="20"/>
        <v/>
      </c>
      <c r="J243" s="10" t="str">
        <f t="shared" si="21"/>
        <v/>
      </c>
      <c r="K243" s="10" t="str">
        <f t="shared" si="22"/>
        <v/>
      </c>
      <c r="L243" s="6"/>
      <c r="M243" s="8" t="str">
        <f>IF(OR(C243="",L243=""),"",C243+L243)</f>
        <v/>
      </c>
      <c r="N243" s="11" t="str">
        <f t="shared" ca="1" si="23"/>
        <v/>
      </c>
      <c r="O243" s="7" t="str">
        <f>IF(L243="","",L243&amp;" Day Due")</f>
        <v/>
      </c>
      <c r="P243" s="10" t="str">
        <f>IF(A243="","",SUMIFS('Partial Payment Log'!$E$4:$E$501,'Partial Payment Log'!$C$4:$C$501,A243))</f>
        <v/>
      </c>
      <c r="Q243" s="10" t="str">
        <f>IF(A243="","",K243-P243)</f>
        <v/>
      </c>
      <c r="R243" s="6" t="str">
        <f>IF(A243="","",IF(Q243&lt;=0,IF(Q243&lt;0,"Overpaid","Paid"),IF(P243&gt;0,"Part Paid","Unpaid")))</f>
        <v/>
      </c>
    </row>
    <row r="244" spans="1:18" ht="15">
      <c r="A244" s="5"/>
      <c r="B244" s="5"/>
      <c r="C244" s="8"/>
      <c r="D244" s="9"/>
      <c r="E244" s="10"/>
      <c r="F244" s="10" t="str">
        <f t="shared" si="18"/>
        <v/>
      </c>
      <c r="G244" s="9"/>
      <c r="H244" s="10" t="str">
        <f t="shared" si="19"/>
        <v/>
      </c>
      <c r="I244" s="10" t="str">
        <f t="shared" si="20"/>
        <v/>
      </c>
      <c r="J244" s="10" t="str">
        <f t="shared" si="21"/>
        <v/>
      </c>
      <c r="K244" s="10" t="str">
        <f t="shared" si="22"/>
        <v/>
      </c>
      <c r="L244" s="6"/>
      <c r="M244" s="8" t="str">
        <f>IF(OR(C244="",L244=""),"",C244+L244)</f>
        <v/>
      </c>
      <c r="N244" s="11" t="str">
        <f t="shared" ca="1" si="23"/>
        <v/>
      </c>
      <c r="O244" s="7" t="str">
        <f>IF(L244="","",L244&amp;" Day Due")</f>
        <v/>
      </c>
      <c r="P244" s="10" t="str">
        <f>IF(A244="","",SUMIFS('Partial Payment Log'!$E$4:$E$501,'Partial Payment Log'!$C$4:$C$501,A244))</f>
        <v/>
      </c>
      <c r="Q244" s="10" t="str">
        <f>IF(A244="","",K244-P244)</f>
        <v/>
      </c>
      <c r="R244" s="6" t="str">
        <f>IF(A244="","",IF(Q244&lt;=0,IF(Q244&lt;0,"Overpaid","Paid"),IF(P244&gt;0,"Part Paid","Unpaid")))</f>
        <v/>
      </c>
    </row>
    <row r="245" spans="1:18" ht="15">
      <c r="A245" s="5"/>
      <c r="B245" s="5"/>
      <c r="C245" s="8"/>
      <c r="D245" s="9"/>
      <c r="E245" s="10"/>
      <c r="F245" s="10" t="str">
        <f t="shared" si="18"/>
        <v/>
      </c>
      <c r="G245" s="9"/>
      <c r="H245" s="10" t="str">
        <f t="shared" si="19"/>
        <v/>
      </c>
      <c r="I245" s="10" t="str">
        <f t="shared" si="20"/>
        <v/>
      </c>
      <c r="J245" s="10" t="str">
        <f t="shared" si="21"/>
        <v/>
      </c>
      <c r="K245" s="10" t="str">
        <f t="shared" si="22"/>
        <v/>
      </c>
      <c r="L245" s="6"/>
      <c r="M245" s="8" t="str">
        <f>IF(OR(C245="",L245=""),"",C245+L245)</f>
        <v/>
      </c>
      <c r="N245" s="11" t="str">
        <f t="shared" ca="1" si="23"/>
        <v/>
      </c>
      <c r="O245" s="7" t="str">
        <f>IF(L245="","",L245&amp;" Day Due")</f>
        <v/>
      </c>
      <c r="P245" s="10" t="str">
        <f>IF(A245="","",SUMIFS('Partial Payment Log'!$E$4:$E$501,'Partial Payment Log'!$C$4:$C$501,A245))</f>
        <v/>
      </c>
      <c r="Q245" s="10" t="str">
        <f>IF(A245="","",K245-P245)</f>
        <v/>
      </c>
      <c r="R245" s="6" t="str">
        <f>IF(A245="","",IF(Q245&lt;=0,IF(Q245&lt;0,"Overpaid","Paid"),IF(P245&gt;0,"Part Paid","Unpaid")))</f>
        <v/>
      </c>
    </row>
    <row r="246" spans="1:18" ht="15">
      <c r="A246" s="5"/>
      <c r="B246" s="5"/>
      <c r="C246" s="8"/>
      <c r="D246" s="9"/>
      <c r="E246" s="10"/>
      <c r="F246" s="10" t="str">
        <f t="shared" si="18"/>
        <v/>
      </c>
      <c r="G246" s="9"/>
      <c r="H246" s="10" t="str">
        <f t="shared" si="19"/>
        <v/>
      </c>
      <c r="I246" s="10" t="str">
        <f t="shared" si="20"/>
        <v/>
      </c>
      <c r="J246" s="10" t="str">
        <f t="shared" si="21"/>
        <v/>
      </c>
      <c r="K246" s="10" t="str">
        <f t="shared" si="22"/>
        <v/>
      </c>
      <c r="L246" s="6"/>
      <c r="M246" s="8" t="str">
        <f>IF(OR(C246="",L246=""),"",C246+L246)</f>
        <v/>
      </c>
      <c r="N246" s="11" t="str">
        <f t="shared" ca="1" si="23"/>
        <v/>
      </c>
      <c r="O246" s="7" t="str">
        <f>IF(L246="","",L246&amp;" Day Due")</f>
        <v/>
      </c>
      <c r="P246" s="10" t="str">
        <f>IF(A246="","",SUMIFS('Partial Payment Log'!$E$4:$E$501,'Partial Payment Log'!$C$4:$C$501,A246))</f>
        <v/>
      </c>
      <c r="Q246" s="10" t="str">
        <f>IF(A246="","",K246-P246)</f>
        <v/>
      </c>
      <c r="R246" s="6" t="str">
        <f>IF(A246="","",IF(Q246&lt;=0,IF(Q246&lt;0,"Overpaid","Paid"),IF(P246&gt;0,"Part Paid","Unpaid")))</f>
        <v/>
      </c>
    </row>
    <row r="247" spans="1:18" ht="15">
      <c r="A247" s="5"/>
      <c r="B247" s="5"/>
      <c r="C247" s="8"/>
      <c r="D247" s="9"/>
      <c r="E247" s="10"/>
      <c r="F247" s="10" t="str">
        <f t="shared" si="18"/>
        <v/>
      </c>
      <c r="G247" s="9"/>
      <c r="H247" s="10" t="str">
        <f t="shared" si="19"/>
        <v/>
      </c>
      <c r="I247" s="10" t="str">
        <f t="shared" si="20"/>
        <v/>
      </c>
      <c r="J247" s="10" t="str">
        <f t="shared" si="21"/>
        <v/>
      </c>
      <c r="K247" s="10" t="str">
        <f t="shared" si="22"/>
        <v/>
      </c>
      <c r="L247" s="6"/>
      <c r="M247" s="8" t="str">
        <f>IF(OR(C247="",L247=""),"",C247+L247)</f>
        <v/>
      </c>
      <c r="N247" s="11" t="str">
        <f t="shared" ca="1" si="23"/>
        <v/>
      </c>
      <c r="O247" s="7" t="str">
        <f>IF(L247="","",L247&amp;" Day Due")</f>
        <v/>
      </c>
      <c r="P247" s="10" t="str">
        <f>IF(A247="","",SUMIFS('Partial Payment Log'!$E$4:$E$501,'Partial Payment Log'!$C$4:$C$501,A247))</f>
        <v/>
      </c>
      <c r="Q247" s="10" t="str">
        <f>IF(A247="","",K247-P247)</f>
        <v/>
      </c>
      <c r="R247" s="6" t="str">
        <f>IF(A247="","",IF(Q247&lt;=0,IF(Q247&lt;0,"Overpaid","Paid"),IF(P247&gt;0,"Part Paid","Unpaid")))</f>
        <v/>
      </c>
    </row>
    <row r="248" spans="1:18" ht="15">
      <c r="A248" s="5"/>
      <c r="B248" s="5"/>
      <c r="C248" s="8"/>
      <c r="D248" s="9"/>
      <c r="E248" s="10"/>
      <c r="F248" s="10" t="str">
        <f t="shared" si="18"/>
        <v/>
      </c>
      <c r="G248" s="9"/>
      <c r="H248" s="10" t="str">
        <f t="shared" si="19"/>
        <v/>
      </c>
      <c r="I248" s="10" t="str">
        <f t="shared" si="20"/>
        <v/>
      </c>
      <c r="J248" s="10" t="str">
        <f t="shared" si="21"/>
        <v/>
      </c>
      <c r="K248" s="10" t="str">
        <f t="shared" si="22"/>
        <v/>
      </c>
      <c r="L248" s="6"/>
      <c r="M248" s="8" t="str">
        <f>IF(OR(C248="",L248=""),"",C248+L248)</f>
        <v/>
      </c>
      <c r="N248" s="11" t="str">
        <f t="shared" ca="1" si="23"/>
        <v/>
      </c>
      <c r="O248" s="7" t="str">
        <f>IF(L248="","",L248&amp;" Day Due")</f>
        <v/>
      </c>
      <c r="P248" s="10" t="str">
        <f>IF(A248="","",SUMIFS('Partial Payment Log'!$E$4:$E$501,'Partial Payment Log'!$C$4:$C$501,A248))</f>
        <v/>
      </c>
      <c r="Q248" s="10" t="str">
        <f>IF(A248="","",K248-P248)</f>
        <v/>
      </c>
      <c r="R248" s="6" t="str">
        <f>IF(A248="","",IF(Q248&lt;=0,IF(Q248&lt;0,"Overpaid","Paid"),IF(P248&gt;0,"Part Paid","Unpaid")))</f>
        <v/>
      </c>
    </row>
    <row r="249" spans="1:18" ht="15">
      <c r="A249" s="5"/>
      <c r="B249" s="5"/>
      <c r="C249" s="8"/>
      <c r="D249" s="9"/>
      <c r="E249" s="10"/>
      <c r="F249" s="10" t="str">
        <f t="shared" si="18"/>
        <v/>
      </c>
      <c r="G249" s="9"/>
      <c r="H249" s="10" t="str">
        <f t="shared" si="19"/>
        <v/>
      </c>
      <c r="I249" s="10" t="str">
        <f t="shared" si="20"/>
        <v/>
      </c>
      <c r="J249" s="10" t="str">
        <f t="shared" si="21"/>
        <v/>
      </c>
      <c r="K249" s="10" t="str">
        <f t="shared" si="22"/>
        <v/>
      </c>
      <c r="L249" s="6"/>
      <c r="M249" s="8" t="str">
        <f>IF(OR(C249="",L249=""),"",C249+L249)</f>
        <v/>
      </c>
      <c r="N249" s="11" t="str">
        <f t="shared" ca="1" si="23"/>
        <v/>
      </c>
      <c r="O249" s="7" t="str">
        <f>IF(L249="","",L249&amp;" Day Due")</f>
        <v/>
      </c>
      <c r="P249" s="10" t="str">
        <f>IF(A249="","",SUMIFS('Partial Payment Log'!$E$4:$E$501,'Partial Payment Log'!$C$4:$C$501,A249))</f>
        <v/>
      </c>
      <c r="Q249" s="10" t="str">
        <f>IF(A249="","",K249-P249)</f>
        <v/>
      </c>
      <c r="R249" s="6" t="str">
        <f>IF(A249="","",IF(Q249&lt;=0,IF(Q249&lt;0,"Overpaid","Paid"),IF(P249&gt;0,"Part Paid","Unpaid")))</f>
        <v/>
      </c>
    </row>
    <row r="250" spans="1:18" ht="15">
      <c r="A250" s="5"/>
      <c r="B250" s="5"/>
      <c r="C250" s="8"/>
      <c r="D250" s="9"/>
      <c r="E250" s="10"/>
      <c r="F250" s="10" t="str">
        <f t="shared" si="18"/>
        <v/>
      </c>
      <c r="G250" s="9"/>
      <c r="H250" s="10" t="str">
        <f t="shared" si="19"/>
        <v/>
      </c>
      <c r="I250" s="10" t="str">
        <f t="shared" si="20"/>
        <v/>
      </c>
      <c r="J250" s="10" t="str">
        <f t="shared" si="21"/>
        <v/>
      </c>
      <c r="K250" s="10" t="str">
        <f t="shared" si="22"/>
        <v/>
      </c>
      <c r="L250" s="6"/>
      <c r="M250" s="8" t="str">
        <f>IF(OR(C250="",L250=""),"",C250+L250)</f>
        <v/>
      </c>
      <c r="N250" s="11" t="str">
        <f t="shared" ca="1" si="23"/>
        <v/>
      </c>
      <c r="O250" s="7" t="str">
        <f>IF(L250="","",L250&amp;" Day Due")</f>
        <v/>
      </c>
      <c r="P250" s="10" t="str">
        <f>IF(A250="","",SUMIFS('Partial Payment Log'!$E$4:$E$501,'Partial Payment Log'!$C$4:$C$501,A250))</f>
        <v/>
      </c>
      <c r="Q250" s="10" t="str">
        <f>IF(A250="","",K250-P250)</f>
        <v/>
      </c>
      <c r="R250" s="6" t="str">
        <f>IF(A250="","",IF(Q250&lt;=0,IF(Q250&lt;0,"Overpaid","Paid"),IF(P250&gt;0,"Part Paid","Unpaid")))</f>
        <v/>
      </c>
    </row>
    <row r="251" spans="1:18" ht="15">
      <c r="A251" s="5"/>
      <c r="B251" s="5"/>
      <c r="C251" s="8"/>
      <c r="D251" s="9"/>
      <c r="E251" s="10"/>
      <c r="F251" s="10" t="str">
        <f t="shared" si="18"/>
        <v/>
      </c>
      <c r="G251" s="9"/>
      <c r="H251" s="10" t="str">
        <f t="shared" si="19"/>
        <v/>
      </c>
      <c r="I251" s="10" t="str">
        <f t="shared" si="20"/>
        <v/>
      </c>
      <c r="J251" s="10" t="str">
        <f t="shared" si="21"/>
        <v/>
      </c>
      <c r="K251" s="10" t="str">
        <f t="shared" si="22"/>
        <v/>
      </c>
      <c r="L251" s="6"/>
      <c r="M251" s="8" t="str">
        <f>IF(OR(C251="",L251=""),"",C251+L251)</f>
        <v/>
      </c>
      <c r="N251" s="11" t="str">
        <f t="shared" ca="1" si="23"/>
        <v/>
      </c>
      <c r="O251" s="7" t="str">
        <f>IF(L251="","",L251&amp;" Day Due")</f>
        <v/>
      </c>
      <c r="P251" s="10" t="str">
        <f>IF(A251="","",SUMIFS('Partial Payment Log'!$E$4:$E$501,'Partial Payment Log'!$C$4:$C$501,A251))</f>
        <v/>
      </c>
      <c r="Q251" s="10" t="str">
        <f>IF(A251="","",K251-P251)</f>
        <v/>
      </c>
      <c r="R251" s="6" t="str">
        <f>IF(A251="","",IF(Q251&lt;=0,IF(Q251&lt;0,"Overpaid","Paid"),IF(P251&gt;0,"Part Paid","Unpaid")))</f>
        <v/>
      </c>
    </row>
    <row r="252" spans="1:18" ht="15">
      <c r="A252" s="5"/>
      <c r="B252" s="5"/>
      <c r="C252" s="8"/>
      <c r="D252" s="9"/>
      <c r="E252" s="10"/>
      <c r="F252" s="10" t="str">
        <f t="shared" si="18"/>
        <v/>
      </c>
      <c r="G252" s="9"/>
      <c r="H252" s="10" t="str">
        <f t="shared" si="19"/>
        <v/>
      </c>
      <c r="I252" s="10" t="str">
        <f t="shared" si="20"/>
        <v/>
      </c>
      <c r="J252" s="10" t="str">
        <f t="shared" si="21"/>
        <v/>
      </c>
      <c r="K252" s="10" t="str">
        <f t="shared" si="22"/>
        <v/>
      </c>
      <c r="L252" s="6"/>
      <c r="M252" s="8" t="str">
        <f>IF(OR(C252="",L252=""),"",C252+L252)</f>
        <v/>
      </c>
      <c r="N252" s="11" t="str">
        <f t="shared" ca="1" si="23"/>
        <v/>
      </c>
      <c r="O252" s="7" t="str">
        <f>IF(L252="","",L252&amp;" Day Due")</f>
        <v/>
      </c>
      <c r="P252" s="10" t="str">
        <f>IF(A252="","",SUMIFS('Partial Payment Log'!$E$4:$E$501,'Partial Payment Log'!$C$4:$C$501,A252))</f>
        <v/>
      </c>
      <c r="Q252" s="10" t="str">
        <f>IF(A252="","",K252-P252)</f>
        <v/>
      </c>
      <c r="R252" s="6" t="str">
        <f>IF(A252="","",IF(Q252&lt;=0,IF(Q252&lt;0,"Overpaid","Paid"),IF(P252&gt;0,"Part Paid","Unpaid")))</f>
        <v/>
      </c>
    </row>
    <row r="253" spans="1:18" ht="15">
      <c r="A253" s="5"/>
      <c r="B253" s="5"/>
      <c r="C253" s="8"/>
      <c r="D253" s="9"/>
      <c r="E253" s="10"/>
      <c r="F253" s="10" t="str">
        <f t="shared" si="18"/>
        <v/>
      </c>
      <c r="G253" s="9"/>
      <c r="H253" s="10" t="str">
        <f t="shared" si="19"/>
        <v/>
      </c>
      <c r="I253" s="10" t="str">
        <f t="shared" si="20"/>
        <v/>
      </c>
      <c r="J253" s="10" t="str">
        <f t="shared" si="21"/>
        <v/>
      </c>
      <c r="K253" s="10" t="str">
        <f t="shared" si="22"/>
        <v/>
      </c>
      <c r="L253" s="6"/>
      <c r="M253" s="8" t="str">
        <f>IF(OR(C253="",L253=""),"",C253+L253)</f>
        <v/>
      </c>
      <c r="N253" s="11" t="str">
        <f t="shared" ca="1" si="23"/>
        <v/>
      </c>
      <c r="O253" s="7" t="str">
        <f>IF(L253="","",L253&amp;" Day Due")</f>
        <v/>
      </c>
      <c r="P253" s="10" t="str">
        <f>IF(A253="","",SUMIFS('Partial Payment Log'!$E$4:$E$501,'Partial Payment Log'!$C$4:$C$501,A253))</f>
        <v/>
      </c>
      <c r="Q253" s="10" t="str">
        <f>IF(A253="","",K253-P253)</f>
        <v/>
      </c>
      <c r="R253" s="6" t="str">
        <f>IF(A253="","",IF(Q253&lt;=0,IF(Q253&lt;0,"Overpaid","Paid"),IF(P253&gt;0,"Part Paid","Unpaid")))</f>
        <v/>
      </c>
    </row>
    <row r="254" spans="1:18" ht="15">
      <c r="A254" s="5"/>
      <c r="B254" s="5"/>
      <c r="C254" s="8"/>
      <c r="D254" s="9"/>
      <c r="E254" s="10"/>
      <c r="F254" s="10" t="str">
        <f t="shared" si="18"/>
        <v/>
      </c>
      <c r="G254" s="9"/>
      <c r="H254" s="10" t="str">
        <f t="shared" si="19"/>
        <v/>
      </c>
      <c r="I254" s="10" t="str">
        <f t="shared" si="20"/>
        <v/>
      </c>
      <c r="J254" s="10" t="str">
        <f t="shared" si="21"/>
        <v/>
      </c>
      <c r="K254" s="10" t="str">
        <f t="shared" si="22"/>
        <v/>
      </c>
      <c r="L254" s="6"/>
      <c r="M254" s="8" t="str">
        <f>IF(OR(C254="",L254=""),"",C254+L254)</f>
        <v/>
      </c>
      <c r="N254" s="11" t="str">
        <f t="shared" ca="1" si="23"/>
        <v/>
      </c>
      <c r="O254" s="7" t="str">
        <f>IF(L254="","",L254&amp;" Day Due")</f>
        <v/>
      </c>
      <c r="P254" s="10" t="str">
        <f>IF(A254="","",SUMIFS('Partial Payment Log'!$E$4:$E$501,'Partial Payment Log'!$C$4:$C$501,A254))</f>
        <v/>
      </c>
      <c r="Q254" s="10" t="str">
        <f>IF(A254="","",K254-P254)</f>
        <v/>
      </c>
      <c r="R254" s="6" t="str">
        <f>IF(A254="","",IF(Q254&lt;=0,IF(Q254&lt;0,"Overpaid","Paid"),IF(P254&gt;0,"Part Paid","Unpaid")))</f>
        <v/>
      </c>
    </row>
    <row r="255" spans="1:18" ht="15">
      <c r="A255" s="5"/>
      <c r="B255" s="5"/>
      <c r="C255" s="8"/>
      <c r="D255" s="9"/>
      <c r="E255" s="10"/>
      <c r="F255" s="10" t="str">
        <f t="shared" si="18"/>
        <v/>
      </c>
      <c r="G255" s="9"/>
      <c r="H255" s="10" t="str">
        <f t="shared" si="19"/>
        <v/>
      </c>
      <c r="I255" s="10" t="str">
        <f t="shared" si="20"/>
        <v/>
      </c>
      <c r="J255" s="10" t="str">
        <f t="shared" si="21"/>
        <v/>
      </c>
      <c r="K255" s="10" t="str">
        <f t="shared" si="22"/>
        <v/>
      </c>
      <c r="L255" s="6"/>
      <c r="M255" s="8" t="str">
        <f>IF(OR(C255="",L255=""),"",C255+L255)</f>
        <v/>
      </c>
      <c r="N255" s="11" t="str">
        <f t="shared" ca="1" si="23"/>
        <v/>
      </c>
      <c r="O255" s="7" t="str">
        <f>IF(L255="","",L255&amp;" Day Due")</f>
        <v/>
      </c>
      <c r="P255" s="10" t="str">
        <f>IF(A255="","",SUMIFS('Partial Payment Log'!$E$4:$E$501,'Partial Payment Log'!$C$4:$C$501,A255))</f>
        <v/>
      </c>
      <c r="Q255" s="10" t="str">
        <f>IF(A255="","",K255-P255)</f>
        <v/>
      </c>
      <c r="R255" s="6" t="str">
        <f>IF(A255="","",IF(Q255&lt;=0,IF(Q255&lt;0,"Overpaid","Paid"),IF(P255&gt;0,"Part Paid","Unpaid")))</f>
        <v/>
      </c>
    </row>
    <row r="256" spans="1:18" ht="15">
      <c r="A256" s="5"/>
      <c r="B256" s="5"/>
      <c r="C256" s="8"/>
      <c r="D256" s="9"/>
      <c r="E256" s="10"/>
      <c r="F256" s="10" t="str">
        <f t="shared" si="18"/>
        <v/>
      </c>
      <c r="G256" s="9"/>
      <c r="H256" s="10" t="str">
        <f t="shared" si="19"/>
        <v/>
      </c>
      <c r="I256" s="10" t="str">
        <f t="shared" si="20"/>
        <v/>
      </c>
      <c r="J256" s="10" t="str">
        <f t="shared" si="21"/>
        <v/>
      </c>
      <c r="K256" s="10" t="str">
        <f t="shared" si="22"/>
        <v/>
      </c>
      <c r="L256" s="6"/>
      <c r="M256" s="8" t="str">
        <f>IF(OR(C256="",L256=""),"",C256+L256)</f>
        <v/>
      </c>
      <c r="N256" s="11" t="str">
        <f t="shared" ca="1" si="23"/>
        <v/>
      </c>
      <c r="O256" s="7" t="str">
        <f>IF(L256="","",L256&amp;" Day Due")</f>
        <v/>
      </c>
      <c r="P256" s="10" t="str">
        <f>IF(A256="","",SUMIFS('Partial Payment Log'!$E$4:$E$501,'Partial Payment Log'!$C$4:$C$501,A256))</f>
        <v/>
      </c>
      <c r="Q256" s="10" t="str">
        <f>IF(A256="","",K256-P256)</f>
        <v/>
      </c>
      <c r="R256" s="6" t="str">
        <f>IF(A256="","",IF(Q256&lt;=0,IF(Q256&lt;0,"Overpaid","Paid"),IF(P256&gt;0,"Part Paid","Unpaid")))</f>
        <v/>
      </c>
    </row>
    <row r="257" spans="1:18" ht="15">
      <c r="A257" s="5"/>
      <c r="B257" s="5"/>
      <c r="C257" s="8"/>
      <c r="D257" s="9"/>
      <c r="E257" s="10"/>
      <c r="F257" s="10" t="str">
        <f t="shared" ref="F257:F300" si="24">IF(OR(D257="",E257=""),"",D257*E257)</f>
        <v/>
      </c>
      <c r="G257" s="9"/>
      <c r="H257" s="10" t="str">
        <f t="shared" ref="H257:H300" si="25">IF(A257="","",N(G257)*E257)</f>
        <v/>
      </c>
      <c r="I257" s="10" t="str">
        <f t="shared" ref="I257:I300" si="26">IF(F257="","",(F257-H257)*1.5%)</f>
        <v/>
      </c>
      <c r="J257" s="10" t="str">
        <f t="shared" ref="J257:J300" si="27">IF(F257="","",(F257-H257)+I257)</f>
        <v/>
      </c>
      <c r="K257" s="10" t="str">
        <f t="shared" ref="K257:K300" si="28">IF(F257="","",J257)</f>
        <v/>
      </c>
      <c r="L257" s="6"/>
      <c r="M257" s="8" t="str">
        <f>IF(OR(C257="",L257=""),"",C257+L257)</f>
        <v/>
      </c>
      <c r="N257" s="11" t="str">
        <f t="shared" ref="N257:N300" ca="1" si="29">IF(M257="","",M257-TODAY())</f>
        <v/>
      </c>
      <c r="O257" s="7" t="str">
        <f>IF(L257="","",L257&amp;" Day Due")</f>
        <v/>
      </c>
      <c r="P257" s="10" t="str">
        <f>IF(A257="","",SUMIFS('Partial Payment Log'!$E$4:$E$501,'Partial Payment Log'!$C$4:$C$501,A257))</f>
        <v/>
      </c>
      <c r="Q257" s="10" t="str">
        <f>IF(A257="","",K257-P257)</f>
        <v/>
      </c>
      <c r="R257" s="6" t="str">
        <f>IF(A257="","",IF(Q257&lt;=0,IF(Q257&lt;0,"Overpaid","Paid"),IF(P257&gt;0,"Part Paid","Unpaid")))</f>
        <v/>
      </c>
    </row>
    <row r="258" spans="1:18" ht="15">
      <c r="A258" s="5"/>
      <c r="B258" s="5"/>
      <c r="C258" s="8"/>
      <c r="D258" s="9"/>
      <c r="E258" s="10"/>
      <c r="F258" s="10" t="str">
        <f t="shared" si="24"/>
        <v/>
      </c>
      <c r="G258" s="9"/>
      <c r="H258" s="10" t="str">
        <f t="shared" si="25"/>
        <v/>
      </c>
      <c r="I258" s="10" t="str">
        <f t="shared" si="26"/>
        <v/>
      </c>
      <c r="J258" s="10" t="str">
        <f t="shared" si="27"/>
        <v/>
      </c>
      <c r="K258" s="10" t="str">
        <f t="shared" si="28"/>
        <v/>
      </c>
      <c r="L258" s="6"/>
      <c r="M258" s="8" t="str">
        <f>IF(OR(C258="",L258=""),"",C258+L258)</f>
        <v/>
      </c>
      <c r="N258" s="11" t="str">
        <f t="shared" ca="1" si="29"/>
        <v/>
      </c>
      <c r="O258" s="7" t="str">
        <f>IF(L258="","",L258&amp;" Day Due")</f>
        <v/>
      </c>
      <c r="P258" s="10" t="str">
        <f>IF(A258="","",SUMIFS('Partial Payment Log'!$E$4:$E$501,'Partial Payment Log'!$C$4:$C$501,A258))</f>
        <v/>
      </c>
      <c r="Q258" s="10" t="str">
        <f>IF(A258="","",K258-P258)</f>
        <v/>
      </c>
      <c r="R258" s="6" t="str">
        <f>IF(A258="","",IF(Q258&lt;=0,IF(Q258&lt;0,"Overpaid","Paid"),IF(P258&gt;0,"Part Paid","Unpaid")))</f>
        <v/>
      </c>
    </row>
    <row r="259" spans="1:18" ht="15">
      <c r="A259" s="5"/>
      <c r="B259" s="5"/>
      <c r="C259" s="8"/>
      <c r="D259" s="9"/>
      <c r="E259" s="10"/>
      <c r="F259" s="10" t="str">
        <f t="shared" si="24"/>
        <v/>
      </c>
      <c r="G259" s="9"/>
      <c r="H259" s="10" t="str">
        <f t="shared" si="25"/>
        <v/>
      </c>
      <c r="I259" s="10" t="str">
        <f t="shared" si="26"/>
        <v/>
      </c>
      <c r="J259" s="10" t="str">
        <f t="shared" si="27"/>
        <v/>
      </c>
      <c r="K259" s="10" t="str">
        <f t="shared" si="28"/>
        <v/>
      </c>
      <c r="L259" s="6"/>
      <c r="M259" s="8" t="str">
        <f>IF(OR(C259="",L259=""),"",C259+L259)</f>
        <v/>
      </c>
      <c r="N259" s="11" t="str">
        <f t="shared" ca="1" si="29"/>
        <v/>
      </c>
      <c r="O259" s="7" t="str">
        <f>IF(L259="","",L259&amp;" Day Due")</f>
        <v/>
      </c>
      <c r="P259" s="10" t="str">
        <f>IF(A259="","",SUMIFS('Partial Payment Log'!$E$4:$E$501,'Partial Payment Log'!$C$4:$C$501,A259))</f>
        <v/>
      </c>
      <c r="Q259" s="10" t="str">
        <f>IF(A259="","",K259-P259)</f>
        <v/>
      </c>
      <c r="R259" s="6" t="str">
        <f>IF(A259="","",IF(Q259&lt;=0,IF(Q259&lt;0,"Overpaid","Paid"),IF(P259&gt;0,"Part Paid","Unpaid")))</f>
        <v/>
      </c>
    </row>
    <row r="260" spans="1:18" ht="15">
      <c r="A260" s="5"/>
      <c r="B260" s="5"/>
      <c r="C260" s="8"/>
      <c r="D260" s="9"/>
      <c r="E260" s="10"/>
      <c r="F260" s="10" t="str">
        <f t="shared" si="24"/>
        <v/>
      </c>
      <c r="G260" s="9"/>
      <c r="H260" s="10" t="str">
        <f t="shared" si="25"/>
        <v/>
      </c>
      <c r="I260" s="10" t="str">
        <f t="shared" si="26"/>
        <v/>
      </c>
      <c r="J260" s="10" t="str">
        <f t="shared" si="27"/>
        <v/>
      </c>
      <c r="K260" s="10" t="str">
        <f t="shared" si="28"/>
        <v/>
      </c>
      <c r="L260" s="6"/>
      <c r="M260" s="8" t="str">
        <f>IF(OR(C260="",L260=""),"",C260+L260)</f>
        <v/>
      </c>
      <c r="N260" s="11" t="str">
        <f t="shared" ca="1" si="29"/>
        <v/>
      </c>
      <c r="O260" s="7" t="str">
        <f>IF(L260="","",L260&amp;" Day Due")</f>
        <v/>
      </c>
      <c r="P260" s="10" t="str">
        <f>IF(A260="","",SUMIFS('Partial Payment Log'!$E$4:$E$501,'Partial Payment Log'!$C$4:$C$501,A260))</f>
        <v/>
      </c>
      <c r="Q260" s="10" t="str">
        <f>IF(A260="","",K260-P260)</f>
        <v/>
      </c>
      <c r="R260" s="6" t="str">
        <f>IF(A260="","",IF(Q260&lt;=0,IF(Q260&lt;0,"Overpaid","Paid"),IF(P260&gt;0,"Part Paid","Unpaid")))</f>
        <v/>
      </c>
    </row>
    <row r="261" spans="1:18" ht="15">
      <c r="A261" s="5"/>
      <c r="B261" s="5"/>
      <c r="C261" s="8"/>
      <c r="D261" s="9"/>
      <c r="E261" s="10"/>
      <c r="F261" s="10" t="str">
        <f t="shared" si="24"/>
        <v/>
      </c>
      <c r="G261" s="9"/>
      <c r="H261" s="10" t="str">
        <f t="shared" si="25"/>
        <v/>
      </c>
      <c r="I261" s="10" t="str">
        <f t="shared" si="26"/>
        <v/>
      </c>
      <c r="J261" s="10" t="str">
        <f t="shared" si="27"/>
        <v/>
      </c>
      <c r="K261" s="10" t="str">
        <f t="shared" si="28"/>
        <v/>
      </c>
      <c r="L261" s="6"/>
      <c r="M261" s="8" t="str">
        <f>IF(OR(C261="",L261=""),"",C261+L261)</f>
        <v/>
      </c>
      <c r="N261" s="11" t="str">
        <f t="shared" ca="1" si="29"/>
        <v/>
      </c>
      <c r="O261" s="7" t="str">
        <f>IF(L261="","",L261&amp;" Day Due")</f>
        <v/>
      </c>
      <c r="P261" s="10" t="str">
        <f>IF(A261="","",SUMIFS('Partial Payment Log'!$E$4:$E$501,'Partial Payment Log'!$C$4:$C$501,A261))</f>
        <v/>
      </c>
      <c r="Q261" s="10" t="str">
        <f>IF(A261="","",K261-P261)</f>
        <v/>
      </c>
      <c r="R261" s="6" t="str">
        <f>IF(A261="","",IF(Q261&lt;=0,IF(Q261&lt;0,"Overpaid","Paid"),IF(P261&gt;0,"Part Paid","Unpaid")))</f>
        <v/>
      </c>
    </row>
    <row r="262" spans="1:18" ht="15">
      <c r="A262" s="5"/>
      <c r="B262" s="5"/>
      <c r="C262" s="8"/>
      <c r="D262" s="9"/>
      <c r="E262" s="10"/>
      <c r="F262" s="10" t="str">
        <f t="shared" si="24"/>
        <v/>
      </c>
      <c r="G262" s="9"/>
      <c r="H262" s="10" t="str">
        <f t="shared" si="25"/>
        <v/>
      </c>
      <c r="I262" s="10" t="str">
        <f t="shared" si="26"/>
        <v/>
      </c>
      <c r="J262" s="10" t="str">
        <f t="shared" si="27"/>
        <v/>
      </c>
      <c r="K262" s="10" t="str">
        <f t="shared" si="28"/>
        <v/>
      </c>
      <c r="L262" s="6"/>
      <c r="M262" s="8" t="str">
        <f>IF(OR(C262="",L262=""),"",C262+L262)</f>
        <v/>
      </c>
      <c r="N262" s="11" t="str">
        <f t="shared" ca="1" si="29"/>
        <v/>
      </c>
      <c r="O262" s="7" t="str">
        <f>IF(L262="","",L262&amp;" Day Due")</f>
        <v/>
      </c>
      <c r="P262" s="10" t="str">
        <f>IF(A262="","",SUMIFS('Partial Payment Log'!$E$4:$E$501,'Partial Payment Log'!$C$4:$C$501,A262))</f>
        <v/>
      </c>
      <c r="Q262" s="10" t="str">
        <f>IF(A262="","",K262-P262)</f>
        <v/>
      </c>
      <c r="R262" s="6" t="str">
        <f>IF(A262="","",IF(Q262&lt;=0,IF(Q262&lt;0,"Overpaid","Paid"),IF(P262&gt;0,"Part Paid","Unpaid")))</f>
        <v/>
      </c>
    </row>
    <row r="263" spans="1:18" ht="15">
      <c r="A263" s="5"/>
      <c r="B263" s="5"/>
      <c r="C263" s="8"/>
      <c r="D263" s="9"/>
      <c r="E263" s="10"/>
      <c r="F263" s="10" t="str">
        <f t="shared" si="24"/>
        <v/>
      </c>
      <c r="G263" s="9"/>
      <c r="H263" s="10" t="str">
        <f t="shared" si="25"/>
        <v/>
      </c>
      <c r="I263" s="10" t="str">
        <f t="shared" si="26"/>
        <v/>
      </c>
      <c r="J263" s="10" t="str">
        <f t="shared" si="27"/>
        <v/>
      </c>
      <c r="K263" s="10" t="str">
        <f t="shared" si="28"/>
        <v/>
      </c>
      <c r="L263" s="6"/>
      <c r="M263" s="8" t="str">
        <f>IF(OR(C263="",L263=""),"",C263+L263)</f>
        <v/>
      </c>
      <c r="N263" s="11" t="str">
        <f t="shared" ca="1" si="29"/>
        <v/>
      </c>
      <c r="O263" s="7" t="str">
        <f>IF(L263="","",L263&amp;" Day Due")</f>
        <v/>
      </c>
      <c r="P263" s="10" t="str">
        <f>IF(A263="","",SUMIFS('Partial Payment Log'!$E$4:$E$501,'Partial Payment Log'!$C$4:$C$501,A263))</f>
        <v/>
      </c>
      <c r="Q263" s="10" t="str">
        <f>IF(A263="","",K263-P263)</f>
        <v/>
      </c>
      <c r="R263" s="6" t="str">
        <f>IF(A263="","",IF(Q263&lt;=0,IF(Q263&lt;0,"Overpaid","Paid"),IF(P263&gt;0,"Part Paid","Unpaid")))</f>
        <v/>
      </c>
    </row>
    <row r="264" spans="1:18" ht="15">
      <c r="A264" s="5"/>
      <c r="B264" s="5"/>
      <c r="C264" s="8"/>
      <c r="D264" s="9"/>
      <c r="E264" s="10"/>
      <c r="F264" s="10" t="str">
        <f t="shared" si="24"/>
        <v/>
      </c>
      <c r="G264" s="9"/>
      <c r="H264" s="10" t="str">
        <f t="shared" si="25"/>
        <v/>
      </c>
      <c r="I264" s="10" t="str">
        <f t="shared" si="26"/>
        <v/>
      </c>
      <c r="J264" s="10" t="str">
        <f t="shared" si="27"/>
        <v/>
      </c>
      <c r="K264" s="10" t="str">
        <f t="shared" si="28"/>
        <v/>
      </c>
      <c r="L264" s="6"/>
      <c r="M264" s="8" t="str">
        <f>IF(OR(C264="",L264=""),"",C264+L264)</f>
        <v/>
      </c>
      <c r="N264" s="11" t="str">
        <f t="shared" ca="1" si="29"/>
        <v/>
      </c>
      <c r="O264" s="7" t="str">
        <f>IF(L264="","",L264&amp;" Day Due")</f>
        <v/>
      </c>
      <c r="P264" s="10" t="str">
        <f>IF(A264="","",SUMIFS('Partial Payment Log'!$E$4:$E$501,'Partial Payment Log'!$C$4:$C$501,A264))</f>
        <v/>
      </c>
      <c r="Q264" s="10" t="str">
        <f>IF(A264="","",K264-P264)</f>
        <v/>
      </c>
      <c r="R264" s="6" t="str">
        <f>IF(A264="","",IF(Q264&lt;=0,IF(Q264&lt;0,"Overpaid","Paid"),IF(P264&gt;0,"Part Paid","Unpaid")))</f>
        <v/>
      </c>
    </row>
    <row r="265" spans="1:18" ht="15">
      <c r="A265" s="5"/>
      <c r="B265" s="5"/>
      <c r="C265" s="8"/>
      <c r="D265" s="9"/>
      <c r="E265" s="10"/>
      <c r="F265" s="10" t="str">
        <f t="shared" si="24"/>
        <v/>
      </c>
      <c r="G265" s="9"/>
      <c r="H265" s="10" t="str">
        <f t="shared" si="25"/>
        <v/>
      </c>
      <c r="I265" s="10" t="str">
        <f t="shared" si="26"/>
        <v/>
      </c>
      <c r="J265" s="10" t="str">
        <f t="shared" si="27"/>
        <v/>
      </c>
      <c r="K265" s="10" t="str">
        <f t="shared" si="28"/>
        <v/>
      </c>
      <c r="L265" s="6"/>
      <c r="M265" s="8" t="str">
        <f>IF(OR(C265="",L265=""),"",C265+L265)</f>
        <v/>
      </c>
      <c r="N265" s="11" t="str">
        <f t="shared" ca="1" si="29"/>
        <v/>
      </c>
      <c r="O265" s="7" t="str">
        <f>IF(L265="","",L265&amp;" Day Due")</f>
        <v/>
      </c>
      <c r="P265" s="10" t="str">
        <f>IF(A265="","",SUMIFS('Partial Payment Log'!$E$4:$E$501,'Partial Payment Log'!$C$4:$C$501,A265))</f>
        <v/>
      </c>
      <c r="Q265" s="10" t="str">
        <f>IF(A265="","",K265-P265)</f>
        <v/>
      </c>
      <c r="R265" s="6" t="str">
        <f>IF(A265="","",IF(Q265&lt;=0,IF(Q265&lt;0,"Overpaid","Paid"),IF(P265&gt;0,"Part Paid","Unpaid")))</f>
        <v/>
      </c>
    </row>
    <row r="266" spans="1:18" ht="15">
      <c r="A266" s="5"/>
      <c r="B266" s="5"/>
      <c r="C266" s="8"/>
      <c r="D266" s="9"/>
      <c r="E266" s="10"/>
      <c r="F266" s="10" t="str">
        <f t="shared" si="24"/>
        <v/>
      </c>
      <c r="G266" s="9"/>
      <c r="H266" s="10" t="str">
        <f t="shared" si="25"/>
        <v/>
      </c>
      <c r="I266" s="10" t="str">
        <f t="shared" si="26"/>
        <v/>
      </c>
      <c r="J266" s="10" t="str">
        <f t="shared" si="27"/>
        <v/>
      </c>
      <c r="K266" s="10" t="str">
        <f t="shared" si="28"/>
        <v/>
      </c>
      <c r="L266" s="6"/>
      <c r="M266" s="8" t="str">
        <f>IF(OR(C266="",L266=""),"",C266+L266)</f>
        <v/>
      </c>
      <c r="N266" s="11" t="str">
        <f t="shared" ca="1" si="29"/>
        <v/>
      </c>
      <c r="O266" s="7" t="str">
        <f>IF(L266="","",L266&amp;" Day Due")</f>
        <v/>
      </c>
      <c r="P266" s="10" t="str">
        <f>IF(A266="","",SUMIFS('Partial Payment Log'!$E$4:$E$501,'Partial Payment Log'!$C$4:$C$501,A266))</f>
        <v/>
      </c>
      <c r="Q266" s="10" t="str">
        <f>IF(A266="","",K266-P266)</f>
        <v/>
      </c>
      <c r="R266" s="6" t="str">
        <f>IF(A266="","",IF(Q266&lt;=0,IF(Q266&lt;0,"Overpaid","Paid"),IF(P266&gt;0,"Part Paid","Unpaid")))</f>
        <v/>
      </c>
    </row>
    <row r="267" spans="1:18" ht="15">
      <c r="A267" s="5"/>
      <c r="B267" s="5"/>
      <c r="C267" s="8"/>
      <c r="D267" s="9"/>
      <c r="E267" s="10"/>
      <c r="F267" s="10" t="str">
        <f t="shared" si="24"/>
        <v/>
      </c>
      <c r="G267" s="9"/>
      <c r="H267" s="10" t="str">
        <f t="shared" si="25"/>
        <v/>
      </c>
      <c r="I267" s="10" t="str">
        <f t="shared" si="26"/>
        <v/>
      </c>
      <c r="J267" s="10" t="str">
        <f t="shared" si="27"/>
        <v/>
      </c>
      <c r="K267" s="10" t="str">
        <f t="shared" si="28"/>
        <v/>
      </c>
      <c r="L267" s="6"/>
      <c r="M267" s="8" t="str">
        <f>IF(OR(C267="",L267=""),"",C267+L267)</f>
        <v/>
      </c>
      <c r="N267" s="11" t="str">
        <f t="shared" ca="1" si="29"/>
        <v/>
      </c>
      <c r="O267" s="7" t="str">
        <f>IF(L267="","",L267&amp;" Day Due")</f>
        <v/>
      </c>
      <c r="P267" s="10" t="str">
        <f>IF(A267="","",SUMIFS('Partial Payment Log'!$E$4:$E$501,'Partial Payment Log'!$C$4:$C$501,A267))</f>
        <v/>
      </c>
      <c r="Q267" s="10" t="str">
        <f>IF(A267="","",K267-P267)</f>
        <v/>
      </c>
      <c r="R267" s="6" t="str">
        <f>IF(A267="","",IF(Q267&lt;=0,IF(Q267&lt;0,"Overpaid","Paid"),IF(P267&gt;0,"Part Paid","Unpaid")))</f>
        <v/>
      </c>
    </row>
    <row r="268" spans="1:18" ht="15">
      <c r="A268" s="5"/>
      <c r="B268" s="5"/>
      <c r="C268" s="8"/>
      <c r="D268" s="9"/>
      <c r="E268" s="10"/>
      <c r="F268" s="10" t="str">
        <f t="shared" si="24"/>
        <v/>
      </c>
      <c r="G268" s="9"/>
      <c r="H268" s="10" t="str">
        <f t="shared" si="25"/>
        <v/>
      </c>
      <c r="I268" s="10" t="str">
        <f t="shared" si="26"/>
        <v/>
      </c>
      <c r="J268" s="10" t="str">
        <f t="shared" si="27"/>
        <v/>
      </c>
      <c r="K268" s="10" t="str">
        <f t="shared" si="28"/>
        <v/>
      </c>
      <c r="L268" s="6"/>
      <c r="M268" s="8" t="str">
        <f>IF(OR(C268="",L268=""),"",C268+L268)</f>
        <v/>
      </c>
      <c r="N268" s="11" t="str">
        <f t="shared" ca="1" si="29"/>
        <v/>
      </c>
      <c r="O268" s="7" t="str">
        <f>IF(L268="","",L268&amp;" Day Due")</f>
        <v/>
      </c>
      <c r="P268" s="10" t="str">
        <f>IF(A268="","",SUMIFS('Partial Payment Log'!$E$4:$E$501,'Partial Payment Log'!$C$4:$C$501,A268))</f>
        <v/>
      </c>
      <c r="Q268" s="10" t="str">
        <f>IF(A268="","",K268-P268)</f>
        <v/>
      </c>
      <c r="R268" s="6" t="str">
        <f>IF(A268="","",IF(Q268&lt;=0,IF(Q268&lt;0,"Overpaid","Paid"),IF(P268&gt;0,"Part Paid","Unpaid")))</f>
        <v/>
      </c>
    </row>
    <row r="269" spans="1:18" ht="15">
      <c r="A269" s="5"/>
      <c r="B269" s="5"/>
      <c r="C269" s="8"/>
      <c r="D269" s="9"/>
      <c r="E269" s="10"/>
      <c r="F269" s="10" t="str">
        <f t="shared" si="24"/>
        <v/>
      </c>
      <c r="G269" s="9"/>
      <c r="H269" s="10" t="str">
        <f t="shared" si="25"/>
        <v/>
      </c>
      <c r="I269" s="10" t="str">
        <f t="shared" si="26"/>
        <v/>
      </c>
      <c r="J269" s="10" t="str">
        <f t="shared" si="27"/>
        <v/>
      </c>
      <c r="K269" s="10" t="str">
        <f t="shared" si="28"/>
        <v/>
      </c>
      <c r="L269" s="6"/>
      <c r="M269" s="8" t="str">
        <f>IF(OR(C269="",L269=""),"",C269+L269)</f>
        <v/>
      </c>
      <c r="N269" s="11" t="str">
        <f t="shared" ca="1" si="29"/>
        <v/>
      </c>
      <c r="O269" s="7" t="str">
        <f>IF(L269="","",L269&amp;" Day Due")</f>
        <v/>
      </c>
      <c r="P269" s="10" t="str">
        <f>IF(A269="","",SUMIFS('Partial Payment Log'!$E$4:$E$501,'Partial Payment Log'!$C$4:$C$501,A269))</f>
        <v/>
      </c>
      <c r="Q269" s="10" t="str">
        <f>IF(A269="","",K269-P269)</f>
        <v/>
      </c>
      <c r="R269" s="6" t="str">
        <f>IF(A269="","",IF(Q269&lt;=0,IF(Q269&lt;0,"Overpaid","Paid"),IF(P269&gt;0,"Part Paid","Unpaid")))</f>
        <v/>
      </c>
    </row>
    <row r="270" spans="1:18" ht="15">
      <c r="A270" s="5"/>
      <c r="B270" s="5"/>
      <c r="C270" s="8"/>
      <c r="D270" s="9"/>
      <c r="E270" s="10"/>
      <c r="F270" s="10" t="str">
        <f t="shared" si="24"/>
        <v/>
      </c>
      <c r="G270" s="9"/>
      <c r="H270" s="10" t="str">
        <f t="shared" si="25"/>
        <v/>
      </c>
      <c r="I270" s="10" t="str">
        <f t="shared" si="26"/>
        <v/>
      </c>
      <c r="J270" s="10" t="str">
        <f t="shared" si="27"/>
        <v/>
      </c>
      <c r="K270" s="10" t="str">
        <f t="shared" si="28"/>
        <v/>
      </c>
      <c r="L270" s="6"/>
      <c r="M270" s="8" t="str">
        <f>IF(OR(C270="",L270=""),"",C270+L270)</f>
        <v/>
      </c>
      <c r="N270" s="11" t="str">
        <f t="shared" ca="1" si="29"/>
        <v/>
      </c>
      <c r="O270" s="7" t="str">
        <f>IF(L270="","",L270&amp;" Day Due")</f>
        <v/>
      </c>
      <c r="P270" s="10" t="str">
        <f>IF(A270="","",SUMIFS('Partial Payment Log'!$E$4:$E$501,'Partial Payment Log'!$C$4:$C$501,A270))</f>
        <v/>
      </c>
      <c r="Q270" s="10" t="str">
        <f>IF(A270="","",K270-P270)</f>
        <v/>
      </c>
      <c r="R270" s="6" t="str">
        <f>IF(A270="","",IF(Q270&lt;=0,IF(Q270&lt;0,"Overpaid","Paid"),IF(P270&gt;0,"Part Paid","Unpaid")))</f>
        <v/>
      </c>
    </row>
    <row r="271" spans="1:18" ht="15">
      <c r="A271" s="5"/>
      <c r="B271" s="5"/>
      <c r="C271" s="8"/>
      <c r="D271" s="9"/>
      <c r="E271" s="10"/>
      <c r="F271" s="10" t="str">
        <f t="shared" si="24"/>
        <v/>
      </c>
      <c r="G271" s="9"/>
      <c r="H271" s="10" t="str">
        <f t="shared" si="25"/>
        <v/>
      </c>
      <c r="I271" s="10" t="str">
        <f t="shared" si="26"/>
        <v/>
      </c>
      <c r="J271" s="10" t="str">
        <f t="shared" si="27"/>
        <v/>
      </c>
      <c r="K271" s="10" t="str">
        <f t="shared" si="28"/>
        <v/>
      </c>
      <c r="L271" s="6"/>
      <c r="M271" s="8" t="str">
        <f>IF(OR(C271="",L271=""),"",C271+L271)</f>
        <v/>
      </c>
      <c r="N271" s="11" t="str">
        <f t="shared" ca="1" si="29"/>
        <v/>
      </c>
      <c r="O271" s="7" t="str">
        <f>IF(L271="","",L271&amp;" Day Due")</f>
        <v/>
      </c>
      <c r="P271" s="10" t="str">
        <f>IF(A271="","",SUMIFS('Partial Payment Log'!$E$4:$E$501,'Partial Payment Log'!$C$4:$C$501,A271))</f>
        <v/>
      </c>
      <c r="Q271" s="10" t="str">
        <f>IF(A271="","",K271-P271)</f>
        <v/>
      </c>
      <c r="R271" s="6" t="str">
        <f>IF(A271="","",IF(Q271&lt;=0,IF(Q271&lt;0,"Overpaid","Paid"),IF(P271&gt;0,"Part Paid","Unpaid")))</f>
        <v/>
      </c>
    </row>
    <row r="272" spans="1:18" ht="15">
      <c r="A272" s="5"/>
      <c r="B272" s="5"/>
      <c r="C272" s="8"/>
      <c r="D272" s="9"/>
      <c r="E272" s="10"/>
      <c r="F272" s="10" t="str">
        <f t="shared" si="24"/>
        <v/>
      </c>
      <c r="G272" s="9"/>
      <c r="H272" s="10" t="str">
        <f t="shared" si="25"/>
        <v/>
      </c>
      <c r="I272" s="10" t="str">
        <f t="shared" si="26"/>
        <v/>
      </c>
      <c r="J272" s="10" t="str">
        <f t="shared" si="27"/>
        <v/>
      </c>
      <c r="K272" s="10" t="str">
        <f t="shared" si="28"/>
        <v/>
      </c>
      <c r="L272" s="6"/>
      <c r="M272" s="8" t="str">
        <f>IF(OR(C272="",L272=""),"",C272+L272)</f>
        <v/>
      </c>
      <c r="N272" s="11" t="str">
        <f t="shared" ca="1" si="29"/>
        <v/>
      </c>
      <c r="O272" s="7" t="str">
        <f>IF(L272="","",L272&amp;" Day Due")</f>
        <v/>
      </c>
      <c r="P272" s="10" t="str">
        <f>IF(A272="","",SUMIFS('Partial Payment Log'!$E$4:$E$501,'Partial Payment Log'!$C$4:$C$501,A272))</f>
        <v/>
      </c>
      <c r="Q272" s="10" t="str">
        <f>IF(A272="","",K272-P272)</f>
        <v/>
      </c>
      <c r="R272" s="6" t="str">
        <f>IF(A272="","",IF(Q272&lt;=0,IF(Q272&lt;0,"Overpaid","Paid"),IF(P272&gt;0,"Part Paid","Unpaid")))</f>
        <v/>
      </c>
    </row>
    <row r="273" spans="1:18" ht="15">
      <c r="A273" s="5"/>
      <c r="B273" s="5"/>
      <c r="C273" s="8"/>
      <c r="D273" s="9"/>
      <c r="E273" s="10"/>
      <c r="F273" s="10" t="str">
        <f t="shared" si="24"/>
        <v/>
      </c>
      <c r="G273" s="9"/>
      <c r="H273" s="10" t="str">
        <f t="shared" si="25"/>
        <v/>
      </c>
      <c r="I273" s="10" t="str">
        <f t="shared" si="26"/>
        <v/>
      </c>
      <c r="J273" s="10" t="str">
        <f t="shared" si="27"/>
        <v/>
      </c>
      <c r="K273" s="10" t="str">
        <f t="shared" si="28"/>
        <v/>
      </c>
      <c r="L273" s="6"/>
      <c r="M273" s="8" t="str">
        <f>IF(OR(C273="",L273=""),"",C273+L273)</f>
        <v/>
      </c>
      <c r="N273" s="11" t="str">
        <f t="shared" ca="1" si="29"/>
        <v/>
      </c>
      <c r="O273" s="7" t="str">
        <f>IF(L273="","",L273&amp;" Day Due")</f>
        <v/>
      </c>
      <c r="P273" s="10" t="str">
        <f>IF(A273="","",SUMIFS('Partial Payment Log'!$E$4:$E$501,'Partial Payment Log'!$C$4:$C$501,A273))</f>
        <v/>
      </c>
      <c r="Q273" s="10" t="str">
        <f>IF(A273="","",K273-P273)</f>
        <v/>
      </c>
      <c r="R273" s="6" t="str">
        <f>IF(A273="","",IF(Q273&lt;=0,IF(Q273&lt;0,"Overpaid","Paid"),IF(P273&gt;0,"Part Paid","Unpaid")))</f>
        <v/>
      </c>
    </row>
    <row r="274" spans="1:18" ht="15">
      <c r="A274" s="5"/>
      <c r="B274" s="5"/>
      <c r="C274" s="8"/>
      <c r="D274" s="9"/>
      <c r="E274" s="10"/>
      <c r="F274" s="10" t="str">
        <f t="shared" si="24"/>
        <v/>
      </c>
      <c r="G274" s="9"/>
      <c r="H274" s="10" t="str">
        <f t="shared" si="25"/>
        <v/>
      </c>
      <c r="I274" s="10" t="str">
        <f t="shared" si="26"/>
        <v/>
      </c>
      <c r="J274" s="10" t="str">
        <f t="shared" si="27"/>
        <v/>
      </c>
      <c r="K274" s="10" t="str">
        <f t="shared" si="28"/>
        <v/>
      </c>
      <c r="L274" s="6"/>
      <c r="M274" s="8" t="str">
        <f>IF(OR(C274="",L274=""),"",C274+L274)</f>
        <v/>
      </c>
      <c r="N274" s="11" t="str">
        <f t="shared" ca="1" si="29"/>
        <v/>
      </c>
      <c r="O274" s="7" t="str">
        <f>IF(L274="","",L274&amp;" Day Due")</f>
        <v/>
      </c>
      <c r="P274" s="10" t="str">
        <f>IF(A274="","",SUMIFS('Partial Payment Log'!$E$4:$E$501,'Partial Payment Log'!$C$4:$C$501,A274))</f>
        <v/>
      </c>
      <c r="Q274" s="10" t="str">
        <f>IF(A274="","",K274-P274)</f>
        <v/>
      </c>
      <c r="R274" s="6" t="str">
        <f>IF(A274="","",IF(Q274&lt;=0,IF(Q274&lt;0,"Overpaid","Paid"),IF(P274&gt;0,"Part Paid","Unpaid")))</f>
        <v/>
      </c>
    </row>
    <row r="275" spans="1:18" ht="15">
      <c r="A275" s="5"/>
      <c r="B275" s="5"/>
      <c r="C275" s="8"/>
      <c r="D275" s="9"/>
      <c r="E275" s="10"/>
      <c r="F275" s="10" t="str">
        <f t="shared" si="24"/>
        <v/>
      </c>
      <c r="G275" s="9"/>
      <c r="H275" s="10" t="str">
        <f t="shared" si="25"/>
        <v/>
      </c>
      <c r="I275" s="10" t="str">
        <f t="shared" si="26"/>
        <v/>
      </c>
      <c r="J275" s="10" t="str">
        <f t="shared" si="27"/>
        <v/>
      </c>
      <c r="K275" s="10" t="str">
        <f t="shared" si="28"/>
        <v/>
      </c>
      <c r="L275" s="6"/>
      <c r="M275" s="8" t="str">
        <f>IF(OR(C275="",L275=""),"",C275+L275)</f>
        <v/>
      </c>
      <c r="N275" s="11" t="str">
        <f t="shared" ca="1" si="29"/>
        <v/>
      </c>
      <c r="O275" s="7" t="str">
        <f>IF(L275="","",L275&amp;" Day Due")</f>
        <v/>
      </c>
      <c r="P275" s="10" t="str">
        <f>IF(A275="","",SUMIFS('Partial Payment Log'!$E$4:$E$501,'Partial Payment Log'!$C$4:$C$501,A275))</f>
        <v/>
      </c>
      <c r="Q275" s="10" t="str">
        <f>IF(A275="","",K275-P275)</f>
        <v/>
      </c>
      <c r="R275" s="6" t="str">
        <f>IF(A275="","",IF(Q275&lt;=0,IF(Q275&lt;0,"Overpaid","Paid"),IF(P275&gt;0,"Part Paid","Unpaid")))</f>
        <v/>
      </c>
    </row>
    <row r="276" spans="1:18" ht="15">
      <c r="A276" s="5"/>
      <c r="B276" s="5"/>
      <c r="C276" s="8"/>
      <c r="D276" s="9"/>
      <c r="E276" s="10"/>
      <c r="F276" s="10" t="str">
        <f t="shared" si="24"/>
        <v/>
      </c>
      <c r="G276" s="9"/>
      <c r="H276" s="10" t="str">
        <f t="shared" si="25"/>
        <v/>
      </c>
      <c r="I276" s="10" t="str">
        <f t="shared" si="26"/>
        <v/>
      </c>
      <c r="J276" s="10" t="str">
        <f t="shared" si="27"/>
        <v/>
      </c>
      <c r="K276" s="10" t="str">
        <f t="shared" si="28"/>
        <v/>
      </c>
      <c r="L276" s="6"/>
      <c r="M276" s="8" t="str">
        <f>IF(OR(C276="",L276=""),"",C276+L276)</f>
        <v/>
      </c>
      <c r="N276" s="11" t="str">
        <f t="shared" ca="1" si="29"/>
        <v/>
      </c>
      <c r="O276" s="7" t="str">
        <f>IF(L276="","",L276&amp;" Day Due")</f>
        <v/>
      </c>
      <c r="P276" s="10" t="str">
        <f>IF(A276="","",SUMIFS('Partial Payment Log'!$E$4:$E$501,'Partial Payment Log'!$C$4:$C$501,A276))</f>
        <v/>
      </c>
      <c r="Q276" s="10" t="str">
        <f>IF(A276="","",K276-P276)</f>
        <v/>
      </c>
      <c r="R276" s="6" t="str">
        <f>IF(A276="","",IF(Q276&lt;=0,IF(Q276&lt;0,"Overpaid","Paid"),IF(P276&gt;0,"Part Paid","Unpaid")))</f>
        <v/>
      </c>
    </row>
    <row r="277" spans="1:18" ht="15">
      <c r="A277" s="5"/>
      <c r="B277" s="5"/>
      <c r="C277" s="8"/>
      <c r="D277" s="9"/>
      <c r="E277" s="10"/>
      <c r="F277" s="10" t="str">
        <f t="shared" si="24"/>
        <v/>
      </c>
      <c r="G277" s="9"/>
      <c r="H277" s="10" t="str">
        <f t="shared" si="25"/>
        <v/>
      </c>
      <c r="I277" s="10" t="str">
        <f t="shared" si="26"/>
        <v/>
      </c>
      <c r="J277" s="10" t="str">
        <f t="shared" si="27"/>
        <v/>
      </c>
      <c r="K277" s="10" t="str">
        <f t="shared" si="28"/>
        <v/>
      </c>
      <c r="L277" s="6"/>
      <c r="M277" s="8" t="str">
        <f>IF(OR(C277="",L277=""),"",C277+L277)</f>
        <v/>
      </c>
      <c r="N277" s="11" t="str">
        <f t="shared" ca="1" si="29"/>
        <v/>
      </c>
      <c r="O277" s="7" t="str">
        <f>IF(L277="","",L277&amp;" Day Due")</f>
        <v/>
      </c>
      <c r="P277" s="10" t="str">
        <f>IF(A277="","",SUMIFS('Partial Payment Log'!$E$4:$E$501,'Partial Payment Log'!$C$4:$C$501,A277))</f>
        <v/>
      </c>
      <c r="Q277" s="10" t="str">
        <f>IF(A277="","",K277-P277)</f>
        <v/>
      </c>
      <c r="R277" s="6" t="str">
        <f>IF(A277="","",IF(Q277&lt;=0,IF(Q277&lt;0,"Overpaid","Paid"),IF(P277&gt;0,"Part Paid","Unpaid")))</f>
        <v/>
      </c>
    </row>
    <row r="278" spans="1:18" ht="15">
      <c r="A278" s="5"/>
      <c r="B278" s="5"/>
      <c r="C278" s="8"/>
      <c r="D278" s="9"/>
      <c r="E278" s="10"/>
      <c r="F278" s="10" t="str">
        <f t="shared" si="24"/>
        <v/>
      </c>
      <c r="G278" s="9"/>
      <c r="H278" s="10" t="str">
        <f t="shared" si="25"/>
        <v/>
      </c>
      <c r="I278" s="10" t="str">
        <f t="shared" si="26"/>
        <v/>
      </c>
      <c r="J278" s="10" t="str">
        <f t="shared" si="27"/>
        <v/>
      </c>
      <c r="K278" s="10" t="str">
        <f t="shared" si="28"/>
        <v/>
      </c>
      <c r="L278" s="6"/>
      <c r="M278" s="8" t="str">
        <f>IF(OR(C278="",L278=""),"",C278+L278)</f>
        <v/>
      </c>
      <c r="N278" s="11" t="str">
        <f t="shared" ca="1" si="29"/>
        <v/>
      </c>
      <c r="O278" s="7" t="str">
        <f>IF(L278="","",L278&amp;" Day Due")</f>
        <v/>
      </c>
      <c r="P278" s="10" t="str">
        <f>IF(A278="","",SUMIFS('Partial Payment Log'!$E$4:$E$501,'Partial Payment Log'!$C$4:$C$501,A278))</f>
        <v/>
      </c>
      <c r="Q278" s="10" t="str">
        <f>IF(A278="","",K278-P278)</f>
        <v/>
      </c>
      <c r="R278" s="6" t="str">
        <f>IF(A278="","",IF(Q278&lt;=0,IF(Q278&lt;0,"Overpaid","Paid"),IF(P278&gt;0,"Part Paid","Unpaid")))</f>
        <v/>
      </c>
    </row>
    <row r="279" spans="1:18" ht="15">
      <c r="A279" s="5"/>
      <c r="B279" s="5"/>
      <c r="C279" s="8"/>
      <c r="D279" s="9"/>
      <c r="E279" s="10"/>
      <c r="F279" s="10" t="str">
        <f t="shared" si="24"/>
        <v/>
      </c>
      <c r="G279" s="9"/>
      <c r="H279" s="10" t="str">
        <f t="shared" si="25"/>
        <v/>
      </c>
      <c r="I279" s="10" t="str">
        <f t="shared" si="26"/>
        <v/>
      </c>
      <c r="J279" s="10" t="str">
        <f t="shared" si="27"/>
        <v/>
      </c>
      <c r="K279" s="10" t="str">
        <f t="shared" si="28"/>
        <v/>
      </c>
      <c r="L279" s="6"/>
      <c r="M279" s="8" t="str">
        <f>IF(OR(C279="",L279=""),"",C279+L279)</f>
        <v/>
      </c>
      <c r="N279" s="11" t="str">
        <f t="shared" ca="1" si="29"/>
        <v/>
      </c>
      <c r="O279" s="7" t="str">
        <f>IF(L279="","",L279&amp;" Day Due")</f>
        <v/>
      </c>
      <c r="P279" s="10" t="str">
        <f>IF(A279="","",SUMIFS('Partial Payment Log'!$E$4:$E$501,'Partial Payment Log'!$C$4:$C$501,A279))</f>
        <v/>
      </c>
      <c r="Q279" s="10" t="str">
        <f>IF(A279="","",K279-P279)</f>
        <v/>
      </c>
      <c r="R279" s="6" t="str">
        <f>IF(A279="","",IF(Q279&lt;=0,IF(Q279&lt;0,"Overpaid","Paid"),IF(P279&gt;0,"Part Paid","Unpaid")))</f>
        <v/>
      </c>
    </row>
    <row r="280" spans="1:18" ht="15">
      <c r="A280" s="5"/>
      <c r="B280" s="5"/>
      <c r="C280" s="8"/>
      <c r="D280" s="9"/>
      <c r="E280" s="10"/>
      <c r="F280" s="10" t="str">
        <f t="shared" si="24"/>
        <v/>
      </c>
      <c r="G280" s="9"/>
      <c r="H280" s="10" t="str">
        <f t="shared" si="25"/>
        <v/>
      </c>
      <c r="I280" s="10" t="str">
        <f t="shared" si="26"/>
        <v/>
      </c>
      <c r="J280" s="10" t="str">
        <f t="shared" si="27"/>
        <v/>
      </c>
      <c r="K280" s="10" t="str">
        <f t="shared" si="28"/>
        <v/>
      </c>
      <c r="L280" s="6"/>
      <c r="M280" s="8" t="str">
        <f>IF(OR(C280="",L280=""),"",C280+L280)</f>
        <v/>
      </c>
      <c r="N280" s="11" t="str">
        <f t="shared" ca="1" si="29"/>
        <v/>
      </c>
      <c r="O280" s="7" t="str">
        <f>IF(L280="","",L280&amp;" Day Due")</f>
        <v/>
      </c>
      <c r="P280" s="10" t="str">
        <f>IF(A280="","",SUMIFS('Partial Payment Log'!$E$4:$E$501,'Partial Payment Log'!$C$4:$C$501,A280))</f>
        <v/>
      </c>
      <c r="Q280" s="10" t="str">
        <f>IF(A280="","",K280-P280)</f>
        <v/>
      </c>
      <c r="R280" s="6" t="str">
        <f>IF(A280="","",IF(Q280&lt;=0,IF(Q280&lt;0,"Overpaid","Paid"),IF(P280&gt;0,"Part Paid","Unpaid")))</f>
        <v/>
      </c>
    </row>
    <row r="281" spans="1:18" ht="15">
      <c r="A281" s="5"/>
      <c r="B281" s="5"/>
      <c r="C281" s="8"/>
      <c r="D281" s="9"/>
      <c r="E281" s="10"/>
      <c r="F281" s="10" t="str">
        <f t="shared" si="24"/>
        <v/>
      </c>
      <c r="G281" s="9"/>
      <c r="H281" s="10" t="str">
        <f t="shared" si="25"/>
        <v/>
      </c>
      <c r="I281" s="10" t="str">
        <f t="shared" si="26"/>
        <v/>
      </c>
      <c r="J281" s="10" t="str">
        <f t="shared" si="27"/>
        <v/>
      </c>
      <c r="K281" s="10" t="str">
        <f t="shared" si="28"/>
        <v/>
      </c>
      <c r="L281" s="6"/>
      <c r="M281" s="8" t="str">
        <f>IF(OR(C281="",L281=""),"",C281+L281)</f>
        <v/>
      </c>
      <c r="N281" s="11" t="str">
        <f t="shared" ca="1" si="29"/>
        <v/>
      </c>
      <c r="O281" s="7" t="str">
        <f>IF(L281="","",L281&amp;" Day Due")</f>
        <v/>
      </c>
      <c r="P281" s="10" t="str">
        <f>IF(A281="","",SUMIFS('Partial Payment Log'!$E$4:$E$501,'Partial Payment Log'!$C$4:$C$501,A281))</f>
        <v/>
      </c>
      <c r="Q281" s="10" t="str">
        <f>IF(A281="","",K281-P281)</f>
        <v/>
      </c>
      <c r="R281" s="6" t="str">
        <f>IF(A281="","",IF(Q281&lt;=0,IF(Q281&lt;0,"Overpaid","Paid"),IF(P281&gt;0,"Part Paid","Unpaid")))</f>
        <v/>
      </c>
    </row>
    <row r="282" spans="1:18" ht="15">
      <c r="A282" s="5"/>
      <c r="B282" s="5"/>
      <c r="C282" s="8"/>
      <c r="D282" s="9"/>
      <c r="E282" s="10"/>
      <c r="F282" s="10" t="str">
        <f t="shared" si="24"/>
        <v/>
      </c>
      <c r="G282" s="9"/>
      <c r="H282" s="10" t="str">
        <f t="shared" si="25"/>
        <v/>
      </c>
      <c r="I282" s="10" t="str">
        <f t="shared" si="26"/>
        <v/>
      </c>
      <c r="J282" s="10" t="str">
        <f t="shared" si="27"/>
        <v/>
      </c>
      <c r="K282" s="10" t="str">
        <f t="shared" si="28"/>
        <v/>
      </c>
      <c r="L282" s="6"/>
      <c r="M282" s="8" t="str">
        <f>IF(OR(C282="",L282=""),"",C282+L282)</f>
        <v/>
      </c>
      <c r="N282" s="11" t="str">
        <f t="shared" ca="1" si="29"/>
        <v/>
      </c>
      <c r="O282" s="7" t="str">
        <f>IF(L282="","",L282&amp;" Day Due")</f>
        <v/>
      </c>
      <c r="P282" s="10" t="str">
        <f>IF(A282="","",SUMIFS('Partial Payment Log'!$E$4:$E$501,'Partial Payment Log'!$C$4:$C$501,A282))</f>
        <v/>
      </c>
      <c r="Q282" s="10" t="str">
        <f>IF(A282="","",K282-P282)</f>
        <v/>
      </c>
      <c r="R282" s="6" t="str">
        <f>IF(A282="","",IF(Q282&lt;=0,IF(Q282&lt;0,"Overpaid","Paid"),IF(P282&gt;0,"Part Paid","Unpaid")))</f>
        <v/>
      </c>
    </row>
    <row r="283" spans="1:18" ht="15">
      <c r="A283" s="5"/>
      <c r="B283" s="5"/>
      <c r="C283" s="8"/>
      <c r="D283" s="9"/>
      <c r="E283" s="10"/>
      <c r="F283" s="10" t="str">
        <f t="shared" si="24"/>
        <v/>
      </c>
      <c r="G283" s="9"/>
      <c r="H283" s="10" t="str">
        <f t="shared" si="25"/>
        <v/>
      </c>
      <c r="I283" s="10" t="str">
        <f t="shared" si="26"/>
        <v/>
      </c>
      <c r="J283" s="10" t="str">
        <f t="shared" si="27"/>
        <v/>
      </c>
      <c r="K283" s="10" t="str">
        <f t="shared" si="28"/>
        <v/>
      </c>
      <c r="L283" s="6"/>
      <c r="M283" s="8" t="str">
        <f>IF(OR(C283="",L283=""),"",C283+L283)</f>
        <v/>
      </c>
      <c r="N283" s="11" t="str">
        <f t="shared" ca="1" si="29"/>
        <v/>
      </c>
      <c r="O283" s="7" t="str">
        <f>IF(L283="","",L283&amp;" Day Due")</f>
        <v/>
      </c>
      <c r="P283" s="10" t="str">
        <f>IF(A283="","",SUMIFS('Partial Payment Log'!$E$4:$E$501,'Partial Payment Log'!$C$4:$C$501,A283))</f>
        <v/>
      </c>
      <c r="Q283" s="10" t="str">
        <f>IF(A283="","",K283-P283)</f>
        <v/>
      </c>
      <c r="R283" s="6" t="str">
        <f>IF(A283="","",IF(Q283&lt;=0,IF(Q283&lt;0,"Overpaid","Paid"),IF(P283&gt;0,"Part Paid","Unpaid")))</f>
        <v/>
      </c>
    </row>
    <row r="284" spans="1:18" ht="15">
      <c r="A284" s="5"/>
      <c r="B284" s="5"/>
      <c r="C284" s="8"/>
      <c r="D284" s="9"/>
      <c r="E284" s="10"/>
      <c r="F284" s="10" t="str">
        <f t="shared" si="24"/>
        <v/>
      </c>
      <c r="G284" s="9"/>
      <c r="H284" s="10" t="str">
        <f t="shared" si="25"/>
        <v/>
      </c>
      <c r="I284" s="10" t="str">
        <f t="shared" si="26"/>
        <v/>
      </c>
      <c r="J284" s="10" t="str">
        <f t="shared" si="27"/>
        <v/>
      </c>
      <c r="K284" s="10" t="str">
        <f t="shared" si="28"/>
        <v/>
      </c>
      <c r="L284" s="6"/>
      <c r="M284" s="8" t="str">
        <f>IF(OR(C284="",L284=""),"",C284+L284)</f>
        <v/>
      </c>
      <c r="N284" s="11" t="str">
        <f t="shared" ca="1" si="29"/>
        <v/>
      </c>
      <c r="O284" s="7" t="str">
        <f>IF(L284="","",L284&amp;" Day Due")</f>
        <v/>
      </c>
      <c r="P284" s="10" t="str">
        <f>IF(A284="","",SUMIFS('Partial Payment Log'!$E$4:$E$501,'Partial Payment Log'!$C$4:$C$501,A284))</f>
        <v/>
      </c>
      <c r="Q284" s="10" t="str">
        <f>IF(A284="","",K284-P284)</f>
        <v/>
      </c>
      <c r="R284" s="6" t="str">
        <f>IF(A284="","",IF(Q284&lt;=0,IF(Q284&lt;0,"Overpaid","Paid"),IF(P284&gt;0,"Part Paid","Unpaid")))</f>
        <v/>
      </c>
    </row>
    <row r="285" spans="1:18" ht="15">
      <c r="A285" s="5"/>
      <c r="B285" s="5"/>
      <c r="C285" s="8"/>
      <c r="D285" s="9"/>
      <c r="E285" s="10"/>
      <c r="F285" s="10" t="str">
        <f t="shared" si="24"/>
        <v/>
      </c>
      <c r="G285" s="9"/>
      <c r="H285" s="10" t="str">
        <f t="shared" si="25"/>
        <v/>
      </c>
      <c r="I285" s="10" t="str">
        <f t="shared" si="26"/>
        <v/>
      </c>
      <c r="J285" s="10" t="str">
        <f t="shared" si="27"/>
        <v/>
      </c>
      <c r="K285" s="10" t="str">
        <f t="shared" si="28"/>
        <v/>
      </c>
      <c r="L285" s="6"/>
      <c r="M285" s="8" t="str">
        <f>IF(OR(C285="",L285=""),"",C285+L285)</f>
        <v/>
      </c>
      <c r="N285" s="11" t="str">
        <f t="shared" ca="1" si="29"/>
        <v/>
      </c>
      <c r="O285" s="7" t="str">
        <f>IF(L285="","",L285&amp;" Day Due")</f>
        <v/>
      </c>
      <c r="P285" s="10" t="str">
        <f>IF(A285="","",SUMIFS('Partial Payment Log'!$E$4:$E$501,'Partial Payment Log'!$C$4:$C$501,A285))</f>
        <v/>
      </c>
      <c r="Q285" s="10" t="str">
        <f>IF(A285="","",K285-P285)</f>
        <v/>
      </c>
      <c r="R285" s="6" t="str">
        <f>IF(A285="","",IF(Q285&lt;=0,IF(Q285&lt;0,"Overpaid","Paid"),IF(P285&gt;0,"Part Paid","Unpaid")))</f>
        <v/>
      </c>
    </row>
    <row r="286" spans="1:18" ht="15">
      <c r="A286" s="5"/>
      <c r="B286" s="5"/>
      <c r="C286" s="8"/>
      <c r="D286" s="9"/>
      <c r="E286" s="10"/>
      <c r="F286" s="10" t="str">
        <f t="shared" si="24"/>
        <v/>
      </c>
      <c r="G286" s="9"/>
      <c r="H286" s="10" t="str">
        <f t="shared" si="25"/>
        <v/>
      </c>
      <c r="I286" s="10" t="str">
        <f t="shared" si="26"/>
        <v/>
      </c>
      <c r="J286" s="10" t="str">
        <f t="shared" si="27"/>
        <v/>
      </c>
      <c r="K286" s="10" t="str">
        <f t="shared" si="28"/>
        <v/>
      </c>
      <c r="L286" s="6"/>
      <c r="M286" s="8" t="str">
        <f>IF(OR(C286="",L286=""),"",C286+L286)</f>
        <v/>
      </c>
      <c r="N286" s="11" t="str">
        <f t="shared" ca="1" si="29"/>
        <v/>
      </c>
      <c r="O286" s="7" t="str">
        <f>IF(L286="","",L286&amp;" Day Due")</f>
        <v/>
      </c>
      <c r="P286" s="10" t="str">
        <f>IF(A286="","",SUMIFS('Partial Payment Log'!$E$4:$E$501,'Partial Payment Log'!$C$4:$C$501,A286))</f>
        <v/>
      </c>
      <c r="Q286" s="10" t="str">
        <f>IF(A286="","",K286-P286)</f>
        <v/>
      </c>
      <c r="R286" s="6" t="str">
        <f>IF(A286="","",IF(Q286&lt;=0,IF(Q286&lt;0,"Overpaid","Paid"),IF(P286&gt;0,"Part Paid","Unpaid")))</f>
        <v/>
      </c>
    </row>
    <row r="287" spans="1:18" ht="15">
      <c r="A287" s="5"/>
      <c r="B287" s="5"/>
      <c r="C287" s="8"/>
      <c r="D287" s="9"/>
      <c r="E287" s="10"/>
      <c r="F287" s="10" t="str">
        <f t="shared" si="24"/>
        <v/>
      </c>
      <c r="G287" s="9"/>
      <c r="H287" s="10" t="str">
        <f t="shared" si="25"/>
        <v/>
      </c>
      <c r="I287" s="10" t="str">
        <f t="shared" si="26"/>
        <v/>
      </c>
      <c r="J287" s="10" t="str">
        <f t="shared" si="27"/>
        <v/>
      </c>
      <c r="K287" s="10" t="str">
        <f t="shared" si="28"/>
        <v/>
      </c>
      <c r="L287" s="6"/>
      <c r="M287" s="8" t="str">
        <f>IF(OR(C287="",L287=""),"",C287+L287)</f>
        <v/>
      </c>
      <c r="N287" s="11" t="str">
        <f t="shared" ca="1" si="29"/>
        <v/>
      </c>
      <c r="O287" s="7" t="str">
        <f>IF(L287="","",L287&amp;" Day Due")</f>
        <v/>
      </c>
      <c r="P287" s="10" t="str">
        <f>IF(A287="","",SUMIFS('Partial Payment Log'!$E$4:$E$501,'Partial Payment Log'!$C$4:$C$501,A287))</f>
        <v/>
      </c>
      <c r="Q287" s="10" t="str">
        <f>IF(A287="","",K287-P287)</f>
        <v/>
      </c>
      <c r="R287" s="6" t="str">
        <f>IF(A287="","",IF(Q287&lt;=0,IF(Q287&lt;0,"Overpaid","Paid"),IF(P287&gt;0,"Part Paid","Unpaid")))</f>
        <v/>
      </c>
    </row>
    <row r="288" spans="1:18" ht="15">
      <c r="A288" s="5"/>
      <c r="B288" s="5"/>
      <c r="C288" s="8"/>
      <c r="D288" s="9"/>
      <c r="E288" s="10"/>
      <c r="F288" s="10" t="str">
        <f t="shared" si="24"/>
        <v/>
      </c>
      <c r="G288" s="9"/>
      <c r="H288" s="10" t="str">
        <f t="shared" si="25"/>
        <v/>
      </c>
      <c r="I288" s="10" t="str">
        <f t="shared" si="26"/>
        <v/>
      </c>
      <c r="J288" s="10" t="str">
        <f t="shared" si="27"/>
        <v/>
      </c>
      <c r="K288" s="10" t="str">
        <f t="shared" si="28"/>
        <v/>
      </c>
      <c r="L288" s="6"/>
      <c r="M288" s="8" t="str">
        <f>IF(OR(C288="",L288=""),"",C288+L288)</f>
        <v/>
      </c>
      <c r="N288" s="11" t="str">
        <f t="shared" ca="1" si="29"/>
        <v/>
      </c>
      <c r="O288" s="7" t="str">
        <f>IF(L288="","",L288&amp;" Day Due")</f>
        <v/>
      </c>
      <c r="P288" s="10" t="str">
        <f>IF(A288="","",SUMIFS('Partial Payment Log'!$E$4:$E$501,'Partial Payment Log'!$C$4:$C$501,A288))</f>
        <v/>
      </c>
      <c r="Q288" s="10" t="str">
        <f>IF(A288="","",K288-P288)</f>
        <v/>
      </c>
      <c r="R288" s="6" t="str">
        <f>IF(A288="","",IF(Q288&lt;=0,IF(Q288&lt;0,"Overpaid","Paid"),IF(P288&gt;0,"Part Paid","Unpaid")))</f>
        <v/>
      </c>
    </row>
    <row r="289" spans="1:18" ht="15">
      <c r="A289" s="5"/>
      <c r="B289" s="5"/>
      <c r="C289" s="8"/>
      <c r="D289" s="9"/>
      <c r="E289" s="10"/>
      <c r="F289" s="10" t="str">
        <f t="shared" si="24"/>
        <v/>
      </c>
      <c r="G289" s="9"/>
      <c r="H289" s="10" t="str">
        <f t="shared" si="25"/>
        <v/>
      </c>
      <c r="I289" s="10" t="str">
        <f t="shared" si="26"/>
        <v/>
      </c>
      <c r="J289" s="10" t="str">
        <f t="shared" si="27"/>
        <v/>
      </c>
      <c r="K289" s="10" t="str">
        <f t="shared" si="28"/>
        <v/>
      </c>
      <c r="L289" s="6"/>
      <c r="M289" s="8" t="str">
        <f>IF(OR(C289="",L289=""),"",C289+L289)</f>
        <v/>
      </c>
      <c r="N289" s="11" t="str">
        <f t="shared" ca="1" si="29"/>
        <v/>
      </c>
      <c r="O289" s="7" t="str">
        <f>IF(L289="","",L289&amp;" Day Due")</f>
        <v/>
      </c>
      <c r="P289" s="10" t="str">
        <f>IF(A289="","",SUMIFS('Partial Payment Log'!$E$4:$E$501,'Partial Payment Log'!$C$4:$C$501,A289))</f>
        <v/>
      </c>
      <c r="Q289" s="10" t="str">
        <f>IF(A289="","",K289-P289)</f>
        <v/>
      </c>
      <c r="R289" s="6" t="str">
        <f>IF(A289="","",IF(Q289&lt;=0,IF(Q289&lt;0,"Overpaid","Paid"),IF(P289&gt;0,"Part Paid","Unpaid")))</f>
        <v/>
      </c>
    </row>
    <row r="290" spans="1:18" ht="15">
      <c r="A290" s="5"/>
      <c r="B290" s="5"/>
      <c r="C290" s="8"/>
      <c r="D290" s="9"/>
      <c r="E290" s="10"/>
      <c r="F290" s="10" t="str">
        <f t="shared" si="24"/>
        <v/>
      </c>
      <c r="G290" s="9"/>
      <c r="H290" s="10" t="str">
        <f t="shared" si="25"/>
        <v/>
      </c>
      <c r="I290" s="10" t="str">
        <f t="shared" si="26"/>
        <v/>
      </c>
      <c r="J290" s="10" t="str">
        <f t="shared" si="27"/>
        <v/>
      </c>
      <c r="K290" s="10" t="str">
        <f t="shared" si="28"/>
        <v/>
      </c>
      <c r="L290" s="6"/>
      <c r="M290" s="8" t="str">
        <f>IF(OR(C290="",L290=""),"",C290+L290)</f>
        <v/>
      </c>
      <c r="N290" s="11" t="str">
        <f t="shared" ca="1" si="29"/>
        <v/>
      </c>
      <c r="O290" s="7" t="str">
        <f>IF(L290="","",L290&amp;" Day Due")</f>
        <v/>
      </c>
      <c r="P290" s="10" t="str">
        <f>IF(A290="","",SUMIFS('Partial Payment Log'!$E$4:$E$501,'Partial Payment Log'!$C$4:$C$501,A290))</f>
        <v/>
      </c>
      <c r="Q290" s="10" t="str">
        <f>IF(A290="","",K290-P290)</f>
        <v/>
      </c>
      <c r="R290" s="6" t="str">
        <f>IF(A290="","",IF(Q290&lt;=0,IF(Q290&lt;0,"Overpaid","Paid"),IF(P290&gt;0,"Part Paid","Unpaid")))</f>
        <v/>
      </c>
    </row>
    <row r="291" spans="1:18" ht="15">
      <c r="A291" s="5"/>
      <c r="B291" s="5"/>
      <c r="C291" s="8"/>
      <c r="D291" s="9"/>
      <c r="E291" s="10"/>
      <c r="F291" s="10" t="str">
        <f t="shared" si="24"/>
        <v/>
      </c>
      <c r="G291" s="9"/>
      <c r="H291" s="10" t="str">
        <f t="shared" si="25"/>
        <v/>
      </c>
      <c r="I291" s="10" t="str">
        <f t="shared" si="26"/>
        <v/>
      </c>
      <c r="J291" s="10" t="str">
        <f t="shared" si="27"/>
        <v/>
      </c>
      <c r="K291" s="10" t="str">
        <f t="shared" si="28"/>
        <v/>
      </c>
      <c r="L291" s="6"/>
      <c r="M291" s="8" t="str">
        <f>IF(OR(C291="",L291=""),"",C291+L291)</f>
        <v/>
      </c>
      <c r="N291" s="11" t="str">
        <f t="shared" ca="1" si="29"/>
        <v/>
      </c>
      <c r="O291" s="7" t="str">
        <f>IF(L291="","",L291&amp;" Day Due")</f>
        <v/>
      </c>
      <c r="P291" s="10" t="str">
        <f>IF(A291="","",SUMIFS('Partial Payment Log'!$E$4:$E$501,'Partial Payment Log'!$C$4:$C$501,A291))</f>
        <v/>
      </c>
      <c r="Q291" s="10" t="str">
        <f>IF(A291="","",K291-P291)</f>
        <v/>
      </c>
      <c r="R291" s="6" t="str">
        <f>IF(A291="","",IF(Q291&lt;=0,IF(Q291&lt;0,"Overpaid","Paid"),IF(P291&gt;0,"Part Paid","Unpaid")))</f>
        <v/>
      </c>
    </row>
    <row r="292" spans="1:18" ht="15">
      <c r="A292" s="5"/>
      <c r="B292" s="5"/>
      <c r="C292" s="8"/>
      <c r="D292" s="9"/>
      <c r="E292" s="10"/>
      <c r="F292" s="10" t="str">
        <f t="shared" si="24"/>
        <v/>
      </c>
      <c r="G292" s="9"/>
      <c r="H292" s="10" t="str">
        <f t="shared" si="25"/>
        <v/>
      </c>
      <c r="I292" s="10" t="str">
        <f t="shared" si="26"/>
        <v/>
      </c>
      <c r="J292" s="10" t="str">
        <f t="shared" si="27"/>
        <v/>
      </c>
      <c r="K292" s="10" t="str">
        <f t="shared" si="28"/>
        <v/>
      </c>
      <c r="L292" s="6"/>
      <c r="M292" s="8" t="str">
        <f>IF(OR(C292="",L292=""),"",C292+L292)</f>
        <v/>
      </c>
      <c r="N292" s="11" t="str">
        <f t="shared" ca="1" si="29"/>
        <v/>
      </c>
      <c r="O292" s="7" t="str">
        <f>IF(L292="","",L292&amp;" Day Due")</f>
        <v/>
      </c>
      <c r="P292" s="10" t="str">
        <f>IF(A292="","",SUMIFS('Partial Payment Log'!$E$4:$E$501,'Partial Payment Log'!$C$4:$C$501,A292))</f>
        <v/>
      </c>
      <c r="Q292" s="10" t="str">
        <f>IF(A292="","",K292-P292)</f>
        <v/>
      </c>
      <c r="R292" s="6" t="str">
        <f>IF(A292="","",IF(Q292&lt;=0,IF(Q292&lt;0,"Overpaid","Paid"),IF(P292&gt;0,"Part Paid","Unpaid")))</f>
        <v/>
      </c>
    </row>
    <row r="293" spans="1:18" ht="15">
      <c r="A293" s="5"/>
      <c r="B293" s="5"/>
      <c r="C293" s="8"/>
      <c r="D293" s="9"/>
      <c r="E293" s="10"/>
      <c r="F293" s="10" t="str">
        <f t="shared" si="24"/>
        <v/>
      </c>
      <c r="G293" s="9"/>
      <c r="H293" s="10" t="str">
        <f t="shared" si="25"/>
        <v/>
      </c>
      <c r="I293" s="10" t="str">
        <f t="shared" si="26"/>
        <v/>
      </c>
      <c r="J293" s="10" t="str">
        <f t="shared" si="27"/>
        <v/>
      </c>
      <c r="K293" s="10" t="str">
        <f t="shared" si="28"/>
        <v/>
      </c>
      <c r="L293" s="6"/>
      <c r="M293" s="8" t="str">
        <f>IF(OR(C293="",L293=""),"",C293+L293)</f>
        <v/>
      </c>
      <c r="N293" s="11" t="str">
        <f t="shared" ca="1" si="29"/>
        <v/>
      </c>
      <c r="O293" s="7" t="str">
        <f>IF(L293="","",L293&amp;" Day Due")</f>
        <v/>
      </c>
      <c r="P293" s="10" t="str">
        <f>IF(A293="","",SUMIFS('Partial Payment Log'!$E$4:$E$501,'Partial Payment Log'!$C$4:$C$501,A293))</f>
        <v/>
      </c>
      <c r="Q293" s="10" t="str">
        <f>IF(A293="","",K293-P293)</f>
        <v/>
      </c>
      <c r="R293" s="6" t="str">
        <f>IF(A293="","",IF(Q293&lt;=0,IF(Q293&lt;0,"Overpaid","Paid"),IF(P293&gt;0,"Part Paid","Unpaid")))</f>
        <v/>
      </c>
    </row>
    <row r="294" spans="1:18" ht="15">
      <c r="A294" s="5"/>
      <c r="B294" s="5"/>
      <c r="C294" s="8"/>
      <c r="D294" s="9"/>
      <c r="E294" s="10"/>
      <c r="F294" s="10" t="str">
        <f t="shared" si="24"/>
        <v/>
      </c>
      <c r="G294" s="9"/>
      <c r="H294" s="10" t="str">
        <f t="shared" si="25"/>
        <v/>
      </c>
      <c r="I294" s="10" t="str">
        <f t="shared" si="26"/>
        <v/>
      </c>
      <c r="J294" s="10" t="str">
        <f t="shared" si="27"/>
        <v/>
      </c>
      <c r="K294" s="10" t="str">
        <f t="shared" si="28"/>
        <v/>
      </c>
      <c r="L294" s="6"/>
      <c r="M294" s="8" t="str">
        <f>IF(OR(C294="",L294=""),"",C294+L294)</f>
        <v/>
      </c>
      <c r="N294" s="11" t="str">
        <f t="shared" ca="1" si="29"/>
        <v/>
      </c>
      <c r="O294" s="7" t="str">
        <f>IF(L294="","",L294&amp;" Day Due")</f>
        <v/>
      </c>
      <c r="P294" s="10" t="str">
        <f>IF(A294="","",SUMIFS('Partial Payment Log'!$E$4:$E$501,'Partial Payment Log'!$C$4:$C$501,A294))</f>
        <v/>
      </c>
      <c r="Q294" s="10" t="str">
        <f>IF(A294="","",K294-P294)</f>
        <v/>
      </c>
      <c r="R294" s="6" t="str">
        <f>IF(A294="","",IF(Q294&lt;=0,IF(Q294&lt;0,"Overpaid","Paid"),IF(P294&gt;0,"Part Paid","Unpaid")))</f>
        <v/>
      </c>
    </row>
    <row r="295" spans="1:18" ht="15">
      <c r="A295" s="5"/>
      <c r="B295" s="5"/>
      <c r="C295" s="8"/>
      <c r="D295" s="9"/>
      <c r="E295" s="10"/>
      <c r="F295" s="10" t="str">
        <f t="shared" si="24"/>
        <v/>
      </c>
      <c r="G295" s="9"/>
      <c r="H295" s="10" t="str">
        <f t="shared" si="25"/>
        <v/>
      </c>
      <c r="I295" s="10" t="str">
        <f t="shared" si="26"/>
        <v/>
      </c>
      <c r="J295" s="10" t="str">
        <f t="shared" si="27"/>
        <v/>
      </c>
      <c r="K295" s="10" t="str">
        <f t="shared" si="28"/>
        <v/>
      </c>
      <c r="L295" s="6"/>
      <c r="M295" s="8" t="str">
        <f>IF(OR(C295="",L295=""),"",C295+L295)</f>
        <v/>
      </c>
      <c r="N295" s="11" t="str">
        <f t="shared" ca="1" si="29"/>
        <v/>
      </c>
      <c r="O295" s="7" t="str">
        <f>IF(L295="","",L295&amp;" Day Due")</f>
        <v/>
      </c>
      <c r="P295" s="10" t="str">
        <f>IF(A295="","",SUMIFS('Partial Payment Log'!$E$4:$E$501,'Partial Payment Log'!$C$4:$C$501,A295))</f>
        <v/>
      </c>
      <c r="Q295" s="10" t="str">
        <f>IF(A295="","",K295-P295)</f>
        <v/>
      </c>
      <c r="R295" s="6" t="str">
        <f>IF(A295="","",IF(Q295&lt;=0,IF(Q295&lt;0,"Overpaid","Paid"),IF(P295&gt;0,"Part Paid","Unpaid")))</f>
        <v/>
      </c>
    </row>
    <row r="296" spans="1:18" ht="15">
      <c r="A296" s="5"/>
      <c r="B296" s="5"/>
      <c r="C296" s="8"/>
      <c r="D296" s="9"/>
      <c r="E296" s="10"/>
      <c r="F296" s="10" t="str">
        <f t="shared" si="24"/>
        <v/>
      </c>
      <c r="G296" s="9"/>
      <c r="H296" s="10" t="str">
        <f t="shared" si="25"/>
        <v/>
      </c>
      <c r="I296" s="10" t="str">
        <f t="shared" si="26"/>
        <v/>
      </c>
      <c r="J296" s="10" t="str">
        <f t="shared" si="27"/>
        <v/>
      </c>
      <c r="K296" s="10" t="str">
        <f t="shared" si="28"/>
        <v/>
      </c>
      <c r="L296" s="6"/>
      <c r="M296" s="8" t="str">
        <f>IF(OR(C296="",L296=""),"",C296+L296)</f>
        <v/>
      </c>
      <c r="N296" s="11" t="str">
        <f t="shared" ca="1" si="29"/>
        <v/>
      </c>
      <c r="O296" s="7" t="str">
        <f>IF(L296="","",L296&amp;" Day Due")</f>
        <v/>
      </c>
      <c r="P296" s="10" t="str">
        <f>IF(A296="","",SUMIFS('Partial Payment Log'!$E$4:$E$501,'Partial Payment Log'!$C$4:$C$501,A296))</f>
        <v/>
      </c>
      <c r="Q296" s="10" t="str">
        <f>IF(A296="","",K296-P296)</f>
        <v/>
      </c>
      <c r="R296" s="6" t="str">
        <f>IF(A296="","",IF(Q296&lt;=0,IF(Q296&lt;0,"Overpaid","Paid"),IF(P296&gt;0,"Part Paid","Unpaid")))</f>
        <v/>
      </c>
    </row>
    <row r="297" spans="1:18" ht="15">
      <c r="A297" s="5"/>
      <c r="B297" s="5"/>
      <c r="C297" s="8"/>
      <c r="D297" s="9"/>
      <c r="E297" s="10"/>
      <c r="F297" s="10" t="str">
        <f t="shared" si="24"/>
        <v/>
      </c>
      <c r="G297" s="9"/>
      <c r="H297" s="10" t="str">
        <f t="shared" si="25"/>
        <v/>
      </c>
      <c r="I297" s="10" t="str">
        <f t="shared" si="26"/>
        <v/>
      </c>
      <c r="J297" s="10" t="str">
        <f t="shared" si="27"/>
        <v/>
      </c>
      <c r="K297" s="10" t="str">
        <f t="shared" si="28"/>
        <v/>
      </c>
      <c r="L297" s="6"/>
      <c r="M297" s="8" t="str">
        <f>IF(OR(C297="",L297=""),"",C297+L297)</f>
        <v/>
      </c>
      <c r="N297" s="11" t="str">
        <f t="shared" ca="1" si="29"/>
        <v/>
      </c>
      <c r="O297" s="7" t="str">
        <f>IF(L297="","",L297&amp;" Day Due")</f>
        <v/>
      </c>
      <c r="P297" s="10" t="str">
        <f>IF(A297="","",SUMIFS('Partial Payment Log'!$E$4:$E$501,'Partial Payment Log'!$C$4:$C$501,A297))</f>
        <v/>
      </c>
      <c r="Q297" s="10" t="str">
        <f>IF(A297="","",K297-P297)</f>
        <v/>
      </c>
      <c r="R297" s="6" t="str">
        <f>IF(A297="","",IF(Q297&lt;=0,IF(Q297&lt;0,"Overpaid","Paid"),IF(P297&gt;0,"Part Paid","Unpaid")))</f>
        <v/>
      </c>
    </row>
    <row r="298" spans="1:18" ht="15">
      <c r="A298" s="5"/>
      <c r="B298" s="5"/>
      <c r="C298" s="8"/>
      <c r="D298" s="9"/>
      <c r="E298" s="10"/>
      <c r="F298" s="10" t="str">
        <f t="shared" si="24"/>
        <v/>
      </c>
      <c r="G298" s="9"/>
      <c r="H298" s="10" t="str">
        <f t="shared" si="25"/>
        <v/>
      </c>
      <c r="I298" s="10" t="str">
        <f t="shared" si="26"/>
        <v/>
      </c>
      <c r="J298" s="10" t="str">
        <f t="shared" si="27"/>
        <v/>
      </c>
      <c r="K298" s="10" t="str">
        <f t="shared" si="28"/>
        <v/>
      </c>
      <c r="L298" s="6"/>
      <c r="M298" s="8" t="str">
        <f>IF(OR(C298="",L298=""),"",C298+L298)</f>
        <v/>
      </c>
      <c r="N298" s="11" t="str">
        <f t="shared" ca="1" si="29"/>
        <v/>
      </c>
      <c r="O298" s="7" t="str">
        <f>IF(L298="","",L298&amp;" Day Due")</f>
        <v/>
      </c>
      <c r="P298" s="10" t="str">
        <f>IF(A298="","",SUMIFS('Partial Payment Log'!$E$4:$E$501,'Partial Payment Log'!$C$4:$C$501,A298))</f>
        <v/>
      </c>
      <c r="Q298" s="10" t="str">
        <f>IF(A298="","",K298-P298)</f>
        <v/>
      </c>
      <c r="R298" s="6" t="str">
        <f>IF(A298="","",IF(Q298&lt;=0,IF(Q298&lt;0,"Overpaid","Paid"),IF(P298&gt;0,"Part Paid","Unpaid")))</f>
        <v/>
      </c>
    </row>
    <row r="299" spans="1:18" ht="15">
      <c r="A299" s="5"/>
      <c r="B299" s="5"/>
      <c r="C299" s="8"/>
      <c r="D299" s="9"/>
      <c r="E299" s="10"/>
      <c r="F299" s="10" t="str">
        <f t="shared" si="24"/>
        <v/>
      </c>
      <c r="G299" s="9"/>
      <c r="H299" s="10" t="str">
        <f t="shared" si="25"/>
        <v/>
      </c>
      <c r="I299" s="10" t="str">
        <f t="shared" si="26"/>
        <v/>
      </c>
      <c r="J299" s="10" t="str">
        <f t="shared" si="27"/>
        <v/>
      </c>
      <c r="K299" s="10" t="str">
        <f t="shared" si="28"/>
        <v/>
      </c>
      <c r="L299" s="6"/>
      <c r="M299" s="8" t="str">
        <f>IF(OR(C299="",L299=""),"",C299+L299)</f>
        <v/>
      </c>
      <c r="N299" s="11" t="str">
        <f t="shared" ca="1" si="29"/>
        <v/>
      </c>
      <c r="O299" s="7" t="str">
        <f>IF(L299="","",L299&amp;" Day Due")</f>
        <v/>
      </c>
      <c r="P299" s="10" t="str">
        <f>IF(A299="","",SUMIFS('Partial Payment Log'!$E$4:$E$501,'Partial Payment Log'!$C$4:$C$501,A299))</f>
        <v/>
      </c>
      <c r="Q299" s="10" t="str">
        <f>IF(A299="","",K299-P299)</f>
        <v/>
      </c>
      <c r="R299" s="6" t="str">
        <f>IF(A299="","",IF(Q299&lt;=0,IF(Q299&lt;0,"Overpaid","Paid"),IF(P299&gt;0,"Part Paid","Unpaid")))</f>
        <v/>
      </c>
    </row>
    <row r="300" spans="1:18" ht="15">
      <c r="A300" s="5"/>
      <c r="B300" s="5"/>
      <c r="C300" s="8"/>
      <c r="D300" s="9"/>
      <c r="E300" s="10"/>
      <c r="F300" s="10" t="str">
        <f t="shared" si="24"/>
        <v/>
      </c>
      <c r="G300" s="9"/>
      <c r="H300" s="10" t="str">
        <f t="shared" si="25"/>
        <v/>
      </c>
      <c r="I300" s="10" t="str">
        <f t="shared" si="26"/>
        <v/>
      </c>
      <c r="J300" s="10" t="str">
        <f t="shared" si="27"/>
        <v/>
      </c>
      <c r="K300" s="10" t="str">
        <f t="shared" si="28"/>
        <v/>
      </c>
      <c r="L300" s="6"/>
      <c r="M300" s="8" t="str">
        <f>IF(OR(C300="",L300=""),"",C300+L300)</f>
        <v/>
      </c>
      <c r="N300" s="11" t="str">
        <f t="shared" ca="1" si="29"/>
        <v/>
      </c>
      <c r="O300" s="7" t="str">
        <f>IF(L300="","",L300&amp;" Day Due")</f>
        <v/>
      </c>
      <c r="P300" s="10" t="str">
        <f>IF(A300="","",SUMIFS('Partial Payment Log'!$E$4:$E$501,'Partial Payment Log'!$C$4:$C$501,A300))</f>
        <v/>
      </c>
      <c r="Q300" s="10" t="str">
        <f>IF(A300="","",K300-P300)</f>
        <v/>
      </c>
      <c r="R300" s="6" t="str">
        <f>IF(A300="","",IF(Q300&lt;=0,IF(Q300&lt;0,"Overpaid","Paid"),IF(P300&gt;0,"Part Paid","Unpaid")))</f>
        <v/>
      </c>
    </row>
  </sheetData>
  <mergeCells count="2">
    <mergeCell ref="A1:R1"/>
    <mergeCell ref="A2:R2"/>
  </mergeCells>
  <phoneticPr fontId="8" type="noConversion"/>
  <dataValidations count="2">
    <dataValidation type="list" sqref="L4:L300" xr:uid="{00000000-0002-0000-0000-000002000000}">
      <formula1>"30,45,60,90,120"</formula1>
    </dataValidation>
    <dataValidation type="list" sqref="R4:R300" xr:uid="{00000000-0002-0000-0000-000003000000}">
      <formula1>"Unpaid,Part Paid,Paid,Overpaid"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'Supplier Master'!$A$2:$A$200</xm:f>
          </x14:formula1>
          <xm:sqref>B4:B300</xm:sqref>
        </x14:dataValidation>
        <x14:dataValidation type="list" xr:uid="{00000000-0002-0000-0000-000001000000}">
          <x14:formula1>
            <xm:f>Lists!$A$2:$A$5</xm:f>
          </x14:formula1>
          <xm:sqref>K4:K300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abSelected="1" zoomScale="200" zoomScaleNormal="200" workbookViewId="0">
      <selection activeCell="H9" sqref="H9"/>
    </sheetView>
  </sheetViews>
  <sheetFormatPr baseColWidth="10" defaultColWidth="8.83203125" defaultRowHeight="14"/>
  <cols>
    <col min="1" max="1" width="14" style="19" customWidth="1"/>
    <col min="2" max="2" width="24" customWidth="1"/>
    <col min="3" max="3" width="14" customWidth="1"/>
    <col min="4" max="6" width="15" customWidth="1"/>
  </cols>
  <sheetData>
    <row r="1" spans="1:6" ht="18">
      <c r="A1" s="36" t="s">
        <v>22</v>
      </c>
      <c r="B1" s="36"/>
      <c r="C1" s="36"/>
      <c r="D1" s="36"/>
      <c r="E1" s="36"/>
      <c r="F1" s="36"/>
    </row>
    <row r="2" spans="1:6" ht="15">
      <c r="A2" s="37" t="s">
        <v>23</v>
      </c>
      <c r="B2" s="37"/>
      <c r="C2" s="37"/>
      <c r="D2" s="37"/>
      <c r="E2" s="37"/>
      <c r="F2" s="37"/>
    </row>
    <row r="3" spans="1:6" ht="32">
      <c r="A3" s="18" t="s">
        <v>24</v>
      </c>
      <c r="B3" s="1" t="s">
        <v>3</v>
      </c>
      <c r="C3" s="28" t="s">
        <v>2</v>
      </c>
      <c r="D3" s="28" t="s">
        <v>25</v>
      </c>
      <c r="E3" s="1" t="s">
        <v>26</v>
      </c>
      <c r="F3" s="1" t="s">
        <v>27</v>
      </c>
    </row>
    <row r="4" spans="1:6">
      <c r="A4" s="17" t="s">
        <v>78</v>
      </c>
      <c r="B4" t="s">
        <v>40</v>
      </c>
      <c r="C4" s="29" t="s">
        <v>77</v>
      </c>
      <c r="D4" s="30">
        <f>IF(C4="","",IFERROR(INDEX('Purchase Tracker'!$J$4:$J$300,MATCH(C4,'Purchase Tracker'!$A$4:$A$300,0)),""))</f>
        <v>10020689</v>
      </c>
      <c r="E4" s="2">
        <v>1500000</v>
      </c>
      <c r="F4" t="s">
        <v>28</v>
      </c>
    </row>
    <row r="5" spans="1:6">
      <c r="A5" s="17" t="s">
        <v>79</v>
      </c>
      <c r="B5" t="s">
        <v>40</v>
      </c>
      <c r="C5" s="29" t="s">
        <v>77</v>
      </c>
      <c r="D5" s="30">
        <f>IF(C5="","",IFERROR(INDEX('Purchase Tracker'!$J$4:$J$300,MATCH(C5,'Purchase Tracker'!$A$4:$A$300,0)),""))</f>
        <v>10020689</v>
      </c>
      <c r="E5" s="2">
        <v>1400000</v>
      </c>
      <c r="F5" t="s">
        <v>28</v>
      </c>
    </row>
    <row r="6" spans="1:6">
      <c r="A6" s="17" t="s">
        <v>80</v>
      </c>
      <c r="B6" t="s">
        <v>40</v>
      </c>
      <c r="C6" s="29" t="s">
        <v>77</v>
      </c>
      <c r="D6" s="30">
        <f>IF(C6="","",IFERROR(INDEX('Purchase Tracker'!$J$4:$J$300,MATCH(C6,'Purchase Tracker'!$A$4:$A$300,0)),""))</f>
        <v>10020689</v>
      </c>
      <c r="E6" s="2">
        <v>501192</v>
      </c>
      <c r="F6" t="s">
        <v>28</v>
      </c>
    </row>
    <row r="7" spans="1:6">
      <c r="A7" s="17" t="s">
        <v>81</v>
      </c>
      <c r="B7" t="s">
        <v>40</v>
      </c>
      <c r="C7" s="29" t="s">
        <v>77</v>
      </c>
      <c r="D7" s="30">
        <f>IF(C7="","",IFERROR(INDEX('Purchase Tracker'!$J$4:$J$300,MATCH(C7,'Purchase Tracker'!$A$4:$A$300,0)),""))</f>
        <v>10020689</v>
      </c>
      <c r="E7" s="2">
        <v>1000000</v>
      </c>
      <c r="F7" t="s">
        <v>28</v>
      </c>
    </row>
    <row r="8" spans="1:6">
      <c r="A8" s="17" t="s">
        <v>82</v>
      </c>
      <c r="B8" t="s">
        <v>40</v>
      </c>
      <c r="C8" s="29" t="s">
        <v>77</v>
      </c>
      <c r="D8" s="30">
        <f>IF(C8="","",IFERROR(INDEX('Purchase Tracker'!$J$4:$J$300,MATCH(C8,'Purchase Tracker'!$A$4:$A$300,0)),""))</f>
        <v>10020689</v>
      </c>
      <c r="E8" s="2">
        <v>1500000</v>
      </c>
      <c r="F8" t="s">
        <v>28</v>
      </c>
    </row>
    <row r="9" spans="1:6">
      <c r="A9" s="17" t="s">
        <v>83</v>
      </c>
      <c r="B9" t="s">
        <v>40</v>
      </c>
      <c r="C9" t="s">
        <v>77</v>
      </c>
      <c r="D9" s="2">
        <f>IF(C9="","",IFERROR(INDEX('Purchase Tracker'!$J$4:$J$300,MATCH(C9,'Purchase Tracker'!$A$4:$A$300,0)),""))</f>
        <v>10020689</v>
      </c>
      <c r="E9" s="2">
        <v>1000000</v>
      </c>
      <c r="F9" t="s">
        <v>28</v>
      </c>
    </row>
    <row r="10" spans="1:6">
      <c r="A10" s="17" t="s">
        <v>84</v>
      </c>
      <c r="B10" t="s">
        <v>40</v>
      </c>
      <c r="C10" t="s">
        <v>77</v>
      </c>
      <c r="D10" s="2">
        <f>IF(C10="","",IFERROR(INDEX('Purchase Tracker'!$J$4:$J$300,MATCH(C10,'Purchase Tracker'!$A$4:$A$300,0)),""))</f>
        <v>10020689</v>
      </c>
      <c r="E10" s="2">
        <v>1500000</v>
      </c>
      <c r="F10" t="s">
        <v>28</v>
      </c>
    </row>
    <row r="11" spans="1:6">
      <c r="A11" s="17" t="s">
        <v>85</v>
      </c>
      <c r="B11" t="s">
        <v>40</v>
      </c>
      <c r="C11" t="s">
        <v>77</v>
      </c>
      <c r="D11" s="2">
        <f>IF(C11="","",IFERROR(INDEX('Purchase Tracker'!$J$4:$J$300,MATCH(C11,'Purchase Tracker'!$A$4:$A$300,0)),""))</f>
        <v>10020689</v>
      </c>
      <c r="E11" s="2">
        <v>1500000</v>
      </c>
      <c r="F11" t="s">
        <v>28</v>
      </c>
    </row>
    <row r="12" spans="1:6">
      <c r="A12" s="17" t="s">
        <v>92</v>
      </c>
      <c r="B12" t="s">
        <v>43</v>
      </c>
      <c r="C12" t="s">
        <v>91</v>
      </c>
      <c r="D12" s="2">
        <f>IF(C12="","",IFERROR(INDEX('Purchase Tracker'!$J$4:$J$300,MATCH(C12,'Purchase Tracker'!$A$4:$A$300,0)),""))</f>
        <v>6259315</v>
      </c>
      <c r="E12" s="2">
        <v>1000000</v>
      </c>
      <c r="F12" t="s">
        <v>28</v>
      </c>
    </row>
    <row r="13" spans="1:6">
      <c r="A13" s="17" t="s">
        <v>93</v>
      </c>
      <c r="B13" t="s">
        <v>43</v>
      </c>
      <c r="C13" t="s">
        <v>91</v>
      </c>
      <c r="D13" s="2">
        <f>IF(C13="","",IFERROR(INDEX('Purchase Tracker'!$J$4:$J$300,MATCH(C13,'Purchase Tracker'!$A$4:$A$300,0)),""))</f>
        <v>6259315</v>
      </c>
      <c r="E13" s="2">
        <v>1000000</v>
      </c>
      <c r="F13" t="s">
        <v>28</v>
      </c>
    </row>
    <row r="14" spans="1:6">
      <c r="A14" s="17" t="s">
        <v>94</v>
      </c>
      <c r="B14" t="s">
        <v>43</v>
      </c>
      <c r="C14" t="s">
        <v>91</v>
      </c>
      <c r="D14" s="2">
        <f>IF(C14="","",IFERROR(INDEX('Purchase Tracker'!$J$4:$J$300,MATCH(C14,'Purchase Tracker'!$A$4:$A$300,0)),""))</f>
        <v>6259315</v>
      </c>
      <c r="E14" s="2">
        <v>1000000</v>
      </c>
      <c r="F14" t="s">
        <v>28</v>
      </c>
    </row>
    <row r="15" spans="1:6">
      <c r="A15" s="17" t="s">
        <v>95</v>
      </c>
      <c r="B15" t="s">
        <v>43</v>
      </c>
      <c r="C15" t="s">
        <v>91</v>
      </c>
      <c r="D15" s="2">
        <f>IF(C15="","",IFERROR(INDEX('Purchase Tracker'!$J$4:$J$300,MATCH(C15,'Purchase Tracker'!$A$4:$A$300,0)),""))</f>
        <v>6259315</v>
      </c>
      <c r="E15" s="2">
        <v>1000000</v>
      </c>
      <c r="F15" t="s">
        <v>28</v>
      </c>
    </row>
    <row r="16" spans="1:6">
      <c r="A16" s="17" t="s">
        <v>96</v>
      </c>
      <c r="B16" t="s">
        <v>43</v>
      </c>
      <c r="C16" t="s">
        <v>91</v>
      </c>
      <c r="D16" s="2">
        <f>IF(C16="","",IFERROR(INDEX('Purchase Tracker'!$J$4:$J$300,MATCH(C16,'Purchase Tracker'!$A$4:$A$300,0)),""))</f>
        <v>6259315</v>
      </c>
      <c r="E16" s="2">
        <v>1000000</v>
      </c>
      <c r="F16" t="s">
        <v>28</v>
      </c>
    </row>
    <row r="17" spans="1:6">
      <c r="A17" s="17">
        <v>46184</v>
      </c>
      <c r="B17" t="s">
        <v>43</v>
      </c>
      <c r="C17" t="s">
        <v>91</v>
      </c>
      <c r="D17" s="2">
        <f>IF(C17="","",IFERROR(INDEX('Purchase Tracker'!$J$4:$J$300,MATCH(C17,'Purchase Tracker'!$A$4:$A$300,0)),""))</f>
        <v>6259315</v>
      </c>
      <c r="E17" s="2">
        <v>1000000</v>
      </c>
      <c r="F17" t="s">
        <v>28</v>
      </c>
    </row>
    <row r="18" spans="1:6">
      <c r="A18" s="17" t="s">
        <v>92</v>
      </c>
      <c r="B18" t="s">
        <v>21</v>
      </c>
      <c r="C18" t="s">
        <v>98</v>
      </c>
      <c r="D18" s="2">
        <f>IF(C18="","",IFERROR(INDEX('Purchase Tracker'!$J$4:$J$300,MATCH(C18,'Purchase Tracker'!$A$4:$A$300,0)),""))</f>
        <v>16111567.000000002</v>
      </c>
      <c r="E18" s="2">
        <v>1000000</v>
      </c>
      <c r="F18" t="s">
        <v>28</v>
      </c>
    </row>
    <row r="19" spans="1:6">
      <c r="A19" s="17" t="s">
        <v>80</v>
      </c>
      <c r="B19" t="s">
        <v>21</v>
      </c>
      <c r="C19" t="s">
        <v>98</v>
      </c>
      <c r="D19" s="2">
        <f>IF(C19="","",IFERROR(INDEX('Purchase Tracker'!$J$4:$J$300,MATCH(C19,'Purchase Tracker'!$A$4:$A$300,0)),""))</f>
        <v>16111567.000000002</v>
      </c>
      <c r="E19" s="2">
        <v>201604</v>
      </c>
      <c r="F19" t="s">
        <v>28</v>
      </c>
    </row>
    <row r="20" spans="1:6">
      <c r="A20" s="17" t="s">
        <v>96</v>
      </c>
      <c r="B20" t="s">
        <v>21</v>
      </c>
      <c r="C20" t="s">
        <v>98</v>
      </c>
      <c r="D20" s="2">
        <f>IF(C20="","",IFERROR(INDEX('Purchase Tracker'!$J$4:$J$300,MATCH(C20,'Purchase Tracker'!$A$4:$A$300,0)),""))</f>
        <v>16111567.000000002</v>
      </c>
      <c r="E20" s="2">
        <v>1000000</v>
      </c>
      <c r="F20" t="s">
        <v>28</v>
      </c>
    </row>
    <row r="21" spans="1:6">
      <c r="A21" s="17" t="s">
        <v>99</v>
      </c>
      <c r="B21" t="s">
        <v>21</v>
      </c>
      <c r="C21" t="s">
        <v>98</v>
      </c>
      <c r="D21" s="2">
        <f>IF(C21="","",IFERROR(INDEX('Purchase Tracker'!$J$4:$J$300,MATCH(C21,'Purchase Tracker'!$A$4:$A$300,0)),""))</f>
        <v>16111567.000000002</v>
      </c>
      <c r="E21" s="2">
        <v>1000000</v>
      </c>
      <c r="F21" t="s">
        <v>28</v>
      </c>
    </row>
    <row r="22" spans="1:6">
      <c r="A22" s="17" t="s">
        <v>83</v>
      </c>
      <c r="B22" t="s">
        <v>21</v>
      </c>
      <c r="C22" t="s">
        <v>98</v>
      </c>
      <c r="D22" s="2">
        <f>IF(C22="","",IFERROR(INDEX('Purchase Tracker'!$J$4:$J$300,MATCH(C22,'Purchase Tracker'!$A$4:$A$300,0)),""))</f>
        <v>16111567.000000002</v>
      </c>
      <c r="E22" s="2">
        <v>1000000</v>
      </c>
      <c r="F22" t="s">
        <v>28</v>
      </c>
    </row>
    <row r="23" spans="1:6">
      <c r="A23" s="17" t="s">
        <v>85</v>
      </c>
      <c r="B23" t="s">
        <v>21</v>
      </c>
      <c r="C23" t="s">
        <v>98</v>
      </c>
      <c r="D23" s="2">
        <f>IF(C23="","",IFERROR(INDEX('Purchase Tracker'!$J$4:$J$300,MATCH(C23,'Purchase Tracker'!$A$4:$A$300,0)),""))</f>
        <v>16111567.000000002</v>
      </c>
      <c r="E23" s="2">
        <v>1000000</v>
      </c>
      <c r="F23" t="s">
        <v>28</v>
      </c>
    </row>
    <row r="24" spans="1:6">
      <c r="A24" s="17" t="s">
        <v>103</v>
      </c>
      <c r="B24" t="s">
        <v>41</v>
      </c>
      <c r="C24" t="s">
        <v>100</v>
      </c>
      <c r="D24" s="2">
        <f>IF(C24="","",IFERROR(INDEX('Purchase Tracker'!$J$4:$J$300,MATCH(C24,'Purchase Tracker'!$A$4:$A$300,0)),""))</f>
        <v>3984422</v>
      </c>
      <c r="E24" s="2">
        <v>1139221</v>
      </c>
      <c r="F24" t="s">
        <v>28</v>
      </c>
    </row>
    <row r="25" spans="1:6">
      <c r="A25" s="17" t="s">
        <v>82</v>
      </c>
      <c r="B25" t="s">
        <v>41</v>
      </c>
      <c r="C25" t="s">
        <v>100</v>
      </c>
      <c r="D25" s="2">
        <f>IF(C25="","",IFERROR(INDEX('Purchase Tracker'!$J$4:$J$300,MATCH(C25,'Purchase Tracker'!$A$4:$A$300,0)),""))</f>
        <v>3984422</v>
      </c>
      <c r="E25" s="2">
        <v>1000000</v>
      </c>
      <c r="F25" t="s">
        <v>28</v>
      </c>
    </row>
    <row r="26" spans="1:6">
      <c r="A26" s="17" t="s">
        <v>104</v>
      </c>
      <c r="B26" t="s">
        <v>41</v>
      </c>
      <c r="C26" t="s">
        <v>100</v>
      </c>
      <c r="D26" s="2">
        <f>IF(C26="","",IFERROR(INDEX('Purchase Tracker'!$J$4:$J$300,MATCH(C26,'Purchase Tracker'!$A$4:$A$300,0)),""))</f>
        <v>3984422</v>
      </c>
      <c r="E26" s="2">
        <v>845000</v>
      </c>
      <c r="F26" t="s">
        <v>28</v>
      </c>
    </row>
    <row r="27" spans="1:6">
      <c r="A27" s="17" t="s">
        <v>85</v>
      </c>
      <c r="B27" t="s">
        <v>41</v>
      </c>
      <c r="C27" t="s">
        <v>100</v>
      </c>
      <c r="D27" s="2">
        <f>IF(C27="","",IFERROR(INDEX('Purchase Tracker'!$J$4:$J$300,MATCH(C27,'Purchase Tracker'!$A$4:$A$300,0)),""))</f>
        <v>3984422</v>
      </c>
      <c r="E27" s="2">
        <v>1000000</v>
      </c>
      <c r="F27" t="s">
        <v>28</v>
      </c>
    </row>
    <row r="28" spans="1:6">
      <c r="A28" s="17" t="s">
        <v>92</v>
      </c>
      <c r="B28" t="s">
        <v>36</v>
      </c>
      <c r="C28" t="s">
        <v>111</v>
      </c>
      <c r="D28" s="2">
        <f>IF(C28="","",IFERROR(INDEX('Purchase Tracker'!$J$4:$J$300,MATCH(C28,'Purchase Tracker'!$A$4:$A$300,0)),""))</f>
        <v>18652765.25</v>
      </c>
      <c r="E28" s="2">
        <v>1000000</v>
      </c>
      <c r="F28" t="s">
        <v>28</v>
      </c>
    </row>
    <row r="29" spans="1:6">
      <c r="A29" s="17" t="s">
        <v>79</v>
      </c>
      <c r="B29" t="s">
        <v>36</v>
      </c>
      <c r="C29" t="s">
        <v>111</v>
      </c>
      <c r="D29" s="2">
        <f>IF(C29="","",IFERROR(INDEX('Purchase Tracker'!$J$4:$J$300,MATCH(C29,'Purchase Tracker'!$A$4:$A$300,0)),""))</f>
        <v>18652765.25</v>
      </c>
      <c r="E29" s="2">
        <v>944250</v>
      </c>
      <c r="F29" t="s">
        <v>28</v>
      </c>
    </row>
    <row r="30" spans="1:6">
      <c r="A30" s="17" t="s">
        <v>80</v>
      </c>
      <c r="B30" t="s">
        <v>36</v>
      </c>
      <c r="C30" t="s">
        <v>111</v>
      </c>
      <c r="D30" s="2">
        <f>IF(C30="","",IFERROR(INDEX('Purchase Tracker'!$J$4:$J$300,MATCH(C30,'Purchase Tracker'!$A$4:$A$300,0)),""))</f>
        <v>18652765.25</v>
      </c>
      <c r="E30" s="2">
        <v>1000000</v>
      </c>
      <c r="F30" t="s">
        <v>28</v>
      </c>
    </row>
    <row r="31" spans="1:6">
      <c r="A31" s="17" t="s">
        <v>81</v>
      </c>
      <c r="B31" t="s">
        <v>36</v>
      </c>
      <c r="C31" t="s">
        <v>111</v>
      </c>
      <c r="D31" s="2">
        <f>IF(C31="","",IFERROR(INDEX('Purchase Tracker'!$J$4:$J$300,MATCH(C31,'Purchase Tracker'!$A$4:$A$300,0)),""))</f>
        <v>18652765.25</v>
      </c>
      <c r="E31" s="2">
        <v>966857</v>
      </c>
      <c r="F31" t="s">
        <v>28</v>
      </c>
    </row>
    <row r="32" spans="1:6">
      <c r="A32" s="17" t="s">
        <v>105</v>
      </c>
      <c r="B32" t="s">
        <v>36</v>
      </c>
      <c r="C32" t="s">
        <v>111</v>
      </c>
      <c r="D32" s="2">
        <f>IF(C32="","",IFERROR(INDEX('Purchase Tracker'!$J$4:$J$300,MATCH(C32,'Purchase Tracker'!$A$4:$A$300,0)),""))</f>
        <v>18652765.25</v>
      </c>
      <c r="E32" s="2">
        <v>1682339</v>
      </c>
      <c r="F32" t="s">
        <v>28</v>
      </c>
    </row>
    <row r="33" spans="1:6">
      <c r="A33" s="17" t="s">
        <v>106</v>
      </c>
      <c r="B33" t="s">
        <v>36</v>
      </c>
      <c r="C33" t="s">
        <v>111</v>
      </c>
      <c r="D33" s="2">
        <f>IF(C33="","",IFERROR(INDEX('Purchase Tracker'!$J$4:$J$300,MATCH(C33,'Purchase Tracker'!$A$4:$A$300,0)),""))</f>
        <v>18652765.25</v>
      </c>
      <c r="E33" s="2">
        <v>1000000</v>
      </c>
      <c r="F33" t="s">
        <v>28</v>
      </c>
    </row>
    <row r="34" spans="1:6">
      <c r="A34" s="17" t="s">
        <v>82</v>
      </c>
      <c r="B34" t="s">
        <v>36</v>
      </c>
      <c r="C34" t="s">
        <v>111</v>
      </c>
      <c r="D34" s="2">
        <f>IF(C34="","",IFERROR(INDEX('Purchase Tracker'!$J$4:$J$300,MATCH(C34,'Purchase Tracker'!$A$4:$A$300,0)),""))</f>
        <v>18652765.25</v>
      </c>
      <c r="E34" s="2">
        <v>1500000</v>
      </c>
      <c r="F34" t="s">
        <v>28</v>
      </c>
    </row>
    <row r="35" spans="1:6">
      <c r="A35" s="17" t="s">
        <v>107</v>
      </c>
      <c r="B35" t="s">
        <v>36</v>
      </c>
      <c r="C35" t="s">
        <v>111</v>
      </c>
      <c r="D35" s="2">
        <f>IF(C35="","",IFERROR(INDEX('Purchase Tracker'!$J$4:$J$300,MATCH(C35,'Purchase Tracker'!$A$4:$A$300,0)),""))</f>
        <v>18652765.25</v>
      </c>
      <c r="E35" s="2">
        <v>1000000</v>
      </c>
      <c r="F35" t="s">
        <v>28</v>
      </c>
    </row>
    <row r="36" spans="1:6">
      <c r="A36" s="17" t="s">
        <v>108</v>
      </c>
      <c r="B36" t="s">
        <v>36</v>
      </c>
      <c r="C36" t="s">
        <v>111</v>
      </c>
      <c r="D36" s="2">
        <f>IF(C36="","",IFERROR(INDEX('Purchase Tracker'!$J$4:$J$300,MATCH(C36,'Purchase Tracker'!$A$4:$A$300,0)),""))</f>
        <v>18652765.25</v>
      </c>
      <c r="E36" s="2">
        <v>1000000</v>
      </c>
      <c r="F36" t="s">
        <v>28</v>
      </c>
    </row>
    <row r="37" spans="1:6">
      <c r="A37" s="17" t="s">
        <v>109</v>
      </c>
      <c r="B37" t="s">
        <v>36</v>
      </c>
      <c r="C37" t="s">
        <v>111</v>
      </c>
      <c r="D37" s="2">
        <f>IF(C37="","",IFERROR(INDEX('Purchase Tracker'!$J$4:$J$300,MATCH(C37,'Purchase Tracker'!$A$4:$A$300,0)),""))</f>
        <v>18652765.25</v>
      </c>
      <c r="E37" s="2">
        <v>1000000</v>
      </c>
      <c r="F37" t="s">
        <v>28</v>
      </c>
    </row>
    <row r="38" spans="1:6">
      <c r="A38" s="17" t="s">
        <v>85</v>
      </c>
      <c r="B38" t="s">
        <v>36</v>
      </c>
      <c r="C38" t="s">
        <v>111</v>
      </c>
      <c r="D38" s="2">
        <f>IF(C38="","",IFERROR(INDEX('Purchase Tracker'!$J$4:$J$300,MATCH(C38,'Purchase Tracker'!$A$4:$A$300,0)),""))</f>
        <v>18652765.25</v>
      </c>
      <c r="E38" s="2">
        <v>1000000</v>
      </c>
      <c r="F38" t="s">
        <v>28</v>
      </c>
    </row>
    <row r="39" spans="1:6">
      <c r="A39" s="17" t="s">
        <v>110</v>
      </c>
      <c r="B39" t="s">
        <v>36</v>
      </c>
      <c r="C39" t="s">
        <v>111</v>
      </c>
      <c r="D39" s="2">
        <f>IF(C39="","",IFERROR(INDEX('Purchase Tracker'!$J$4:$J$300,MATCH(C39,'Purchase Tracker'!$A$4:$A$300,0)),""))</f>
        <v>18652765.25</v>
      </c>
      <c r="E39" s="2">
        <v>1000000</v>
      </c>
      <c r="F39" t="s">
        <v>28</v>
      </c>
    </row>
    <row r="40" spans="1:6">
      <c r="A40" s="17">
        <v>46136</v>
      </c>
      <c r="B40" t="s">
        <v>39</v>
      </c>
      <c r="C40" t="s">
        <v>112</v>
      </c>
      <c r="D40" s="2">
        <f>IF(C40="","",IFERROR(INDEX('Purchase Tracker'!$J$4:$J$300,MATCH(C40,'Purchase Tracker'!$A$4:$A$300,0)),""))</f>
        <v>3101354</v>
      </c>
      <c r="E40" s="2">
        <v>1000000</v>
      </c>
      <c r="F40" t="s">
        <v>28</v>
      </c>
    </row>
    <row r="41" spans="1:6">
      <c r="A41" s="17">
        <v>46113</v>
      </c>
      <c r="B41" t="s">
        <v>42</v>
      </c>
      <c r="C41" t="s">
        <v>113</v>
      </c>
      <c r="D41" s="2">
        <f>IF(C41="","",IFERROR(INDEX('Purchase Tracker'!$J$4:$J$300,MATCH(C41,'Purchase Tracker'!$A$4:$A$300,0)),""))</f>
        <v>11154524</v>
      </c>
      <c r="E41" s="2">
        <v>500000</v>
      </c>
      <c r="F41" t="s">
        <v>28</v>
      </c>
    </row>
    <row r="42" spans="1:6">
      <c r="A42" s="17">
        <v>46125</v>
      </c>
      <c r="B42" t="s">
        <v>42</v>
      </c>
      <c r="C42" t="s">
        <v>113</v>
      </c>
      <c r="D42" s="2">
        <f>IF(C42="","",IFERROR(INDEX('Purchase Tracker'!$J$4:$J$300,MATCH(C42,'Purchase Tracker'!$A$4:$A$300,0)),""))</f>
        <v>11154524</v>
      </c>
      <c r="E42" s="2">
        <v>600000</v>
      </c>
      <c r="F42" t="s">
        <v>28</v>
      </c>
    </row>
    <row r="43" spans="1:6">
      <c r="A43" s="17">
        <v>46130</v>
      </c>
      <c r="B43" t="s">
        <v>42</v>
      </c>
      <c r="C43" t="s">
        <v>113</v>
      </c>
      <c r="D43" s="2">
        <f>IF(C43="","",IFERROR(INDEX('Purchase Tracker'!$J$4:$J$300,MATCH(C43,'Purchase Tracker'!$A$4:$A$300,0)),""))</f>
        <v>11154524</v>
      </c>
      <c r="E43" s="2">
        <v>600000</v>
      </c>
      <c r="F43" t="s">
        <v>28</v>
      </c>
    </row>
    <row r="44" spans="1:6">
      <c r="A44" s="17">
        <v>46135</v>
      </c>
      <c r="B44" t="s">
        <v>42</v>
      </c>
      <c r="C44" t="s">
        <v>113</v>
      </c>
      <c r="D44" s="2">
        <f>IF(C44="","",IFERROR(INDEX('Purchase Tracker'!$J$4:$J$300,MATCH(C44,'Purchase Tracker'!$A$4:$A$300,0)),""))</f>
        <v>11154524</v>
      </c>
      <c r="E44" s="2">
        <v>605037</v>
      </c>
      <c r="F44" t="s">
        <v>28</v>
      </c>
    </row>
    <row r="45" spans="1:6">
      <c r="A45" s="17">
        <v>46142</v>
      </c>
      <c r="B45" t="s">
        <v>42</v>
      </c>
      <c r="C45" t="s">
        <v>113</v>
      </c>
      <c r="D45" s="2">
        <f>IF(C45="","",IFERROR(INDEX('Purchase Tracker'!$J$4:$J$300,MATCH(C45,'Purchase Tracker'!$A$4:$A$300,0)),""))</f>
        <v>11154524</v>
      </c>
      <c r="E45" s="2">
        <v>1000000</v>
      </c>
      <c r="F45" t="s">
        <v>28</v>
      </c>
    </row>
    <row r="46" spans="1:6">
      <c r="A46" s="17">
        <v>46155</v>
      </c>
      <c r="B46" t="s">
        <v>42</v>
      </c>
      <c r="C46" t="s">
        <v>113</v>
      </c>
      <c r="D46" s="2">
        <f>IF(C46="","",IFERROR(INDEX('Purchase Tracker'!$J$4:$J$300,MATCH(C46,'Purchase Tracker'!$A$4:$A$300,0)),""))</f>
        <v>11154524</v>
      </c>
      <c r="E46" s="2">
        <v>1000000</v>
      </c>
      <c r="F46" t="s">
        <v>28</v>
      </c>
    </row>
    <row r="47" spans="1:6">
      <c r="A47" s="17">
        <v>46164</v>
      </c>
      <c r="B47" t="s">
        <v>42</v>
      </c>
      <c r="C47" t="s">
        <v>113</v>
      </c>
      <c r="D47" s="2">
        <f>IF(C47="","",IFERROR(INDEX('Purchase Tracker'!$J$4:$J$300,MATCH(C47,'Purchase Tracker'!$A$4:$A$300,0)),""))</f>
        <v>11154524</v>
      </c>
      <c r="E47" s="2">
        <v>1000000</v>
      </c>
      <c r="F47" t="s">
        <v>28</v>
      </c>
    </row>
    <row r="48" spans="1:6">
      <c r="A48" s="17">
        <v>46181</v>
      </c>
      <c r="B48" t="s">
        <v>42</v>
      </c>
      <c r="C48" t="s">
        <v>113</v>
      </c>
      <c r="D48" s="2">
        <f>IF(C48="","",IFERROR(INDEX('Purchase Tracker'!$J$4:$J$300,MATCH(C48,'Purchase Tracker'!$A$4:$A$300,0)),""))</f>
        <v>11154524</v>
      </c>
      <c r="E48" s="2">
        <v>1000000</v>
      </c>
      <c r="F48" t="s">
        <v>28</v>
      </c>
    </row>
    <row r="49" spans="1:6">
      <c r="A49" s="17">
        <v>46189</v>
      </c>
      <c r="B49" t="s">
        <v>42</v>
      </c>
      <c r="C49" t="s">
        <v>113</v>
      </c>
      <c r="D49" s="2">
        <f>IF(C49="","",IFERROR(INDEX('Purchase Tracker'!$J$4:$J$300,MATCH(C49,'Purchase Tracker'!$A$4:$A$300,0)),""))</f>
        <v>11154524</v>
      </c>
      <c r="E49" s="2">
        <v>2684907</v>
      </c>
      <c r="F49" t="s">
        <v>28</v>
      </c>
    </row>
    <row r="50" spans="1:6">
      <c r="A50" s="17">
        <v>46197</v>
      </c>
      <c r="B50" t="s">
        <v>42</v>
      </c>
      <c r="C50" t="s">
        <v>113</v>
      </c>
      <c r="D50" s="2">
        <f>IF(C50="","",IFERROR(INDEX('Purchase Tracker'!$J$4:$J$300,MATCH(C50,'Purchase Tracker'!$A$4:$A$300,0)),""))</f>
        <v>11154524</v>
      </c>
      <c r="E50" s="2">
        <v>1000000</v>
      </c>
      <c r="F50" t="s">
        <v>28</v>
      </c>
    </row>
    <row r="51" spans="1:6">
      <c r="A51" s="17">
        <v>46206</v>
      </c>
      <c r="B51" t="s">
        <v>21</v>
      </c>
      <c r="C51" t="s">
        <v>98</v>
      </c>
      <c r="D51" s="2">
        <f>IF(C51="","",IFERROR(INDEX('Purchase Tracker'!$J$4:$J$300,MATCH(C51,'Purchase Tracker'!$A$4:$A$300,0)),""))</f>
        <v>16111567.000000002</v>
      </c>
      <c r="E51" s="2">
        <v>1000000</v>
      </c>
      <c r="F51" t="s">
        <v>28</v>
      </c>
    </row>
    <row r="52" spans="1:6">
      <c r="A52" s="17">
        <v>46212</v>
      </c>
      <c r="B52" t="s">
        <v>21</v>
      </c>
      <c r="C52" t="s">
        <v>98</v>
      </c>
      <c r="D52" s="2">
        <f>IF(C52="","",IFERROR(INDEX('Purchase Tracker'!$J$4:$J$300,MATCH(C52,'Purchase Tracker'!$A$4:$A$300,0)),""))</f>
        <v>16111567.000000002</v>
      </c>
      <c r="E52" s="2">
        <v>1000000</v>
      </c>
      <c r="F52" t="s">
        <v>28</v>
      </c>
    </row>
    <row r="53" spans="1:6">
      <c r="A53" s="17">
        <v>46212</v>
      </c>
      <c r="B53" t="s">
        <v>36</v>
      </c>
      <c r="C53" t="s">
        <v>111</v>
      </c>
      <c r="D53" s="2">
        <f>IF(C53="","",IFERROR(INDEX('Purchase Tracker'!$J$4:$J$300,MATCH(C53,'Purchase Tracker'!$A$4:$A$300,0)),""))</f>
        <v>18652765.25</v>
      </c>
      <c r="E53" s="2">
        <v>1000000</v>
      </c>
      <c r="F53" t="s">
        <v>28</v>
      </c>
    </row>
    <row r="54" spans="1:6">
      <c r="A54" s="17">
        <v>46153</v>
      </c>
      <c r="B54" s="20" t="s">
        <v>37</v>
      </c>
      <c r="C54" t="s">
        <v>126</v>
      </c>
      <c r="D54" s="2">
        <f>IF(C54="","",IFERROR(INDEX('Purchase Tracker'!$J$4:$J$300,MATCH(C54,'Purchase Tracker'!$A$4:$A$300,0)),""))</f>
        <v>4624076.0999999996</v>
      </c>
      <c r="E54" s="2">
        <v>1000000</v>
      </c>
      <c r="F54" t="s">
        <v>28</v>
      </c>
    </row>
    <row r="55" spans="1:6">
      <c r="A55" s="17">
        <v>46160</v>
      </c>
      <c r="B55" s="20" t="s">
        <v>37</v>
      </c>
      <c r="C55" t="s">
        <v>127</v>
      </c>
      <c r="D55" s="2">
        <f>IF(C55="","",IFERROR(INDEX('Purchase Tracker'!$J$4:$J$300,MATCH(C55,'Purchase Tracker'!$A$4:$A$300,0)),""))</f>
        <v>4315434.9000000004</v>
      </c>
      <c r="E55" s="2">
        <v>1000000</v>
      </c>
      <c r="F55" t="s">
        <v>28</v>
      </c>
    </row>
    <row r="56" spans="1:6">
      <c r="A56" s="17">
        <v>46167</v>
      </c>
      <c r="B56" s="20" t="s">
        <v>37</v>
      </c>
      <c r="C56" t="s">
        <v>128</v>
      </c>
      <c r="D56" s="2">
        <f>IF(C56="","",IFERROR(INDEX('Purchase Tracker'!$J$4:$J$300,MATCH(C56,'Purchase Tracker'!$A$4:$A$300,0)),""))</f>
        <v>2189050.5</v>
      </c>
      <c r="E56" s="2">
        <v>1000000</v>
      </c>
      <c r="F56" t="s">
        <v>28</v>
      </c>
    </row>
    <row r="57" spans="1:6">
      <c r="A57" s="17">
        <v>46176</v>
      </c>
      <c r="B57" s="20" t="s">
        <v>37</v>
      </c>
      <c r="C57" t="s">
        <v>129</v>
      </c>
      <c r="D57" s="2">
        <f>IF(C57="","",IFERROR(INDEX('Purchase Tracker'!$J$4:$J$300,MATCH(C57,'Purchase Tracker'!$A$4:$A$300,0)),""))</f>
        <v>2327598</v>
      </c>
      <c r="E57" s="2">
        <v>1000000</v>
      </c>
      <c r="F57" t="s">
        <v>28</v>
      </c>
    </row>
    <row r="58" spans="1:6">
      <c r="A58" s="17">
        <v>46207</v>
      </c>
      <c r="B58" t="s">
        <v>42</v>
      </c>
      <c r="C58" t="s">
        <v>113</v>
      </c>
      <c r="D58" s="2">
        <f>IF(C58="","",IFERROR(INDEX('Purchase Tracker'!$J$4:$J$300,MATCH(C58,'Purchase Tracker'!$A$4:$A$300,0)),""))</f>
        <v>11154524</v>
      </c>
      <c r="E58" s="2">
        <v>1000000</v>
      </c>
      <c r="F58" t="s">
        <v>28</v>
      </c>
    </row>
    <row r="59" spans="1:6">
      <c r="A59" s="17">
        <v>46219</v>
      </c>
      <c r="B59" t="s">
        <v>21</v>
      </c>
      <c r="C59" t="s">
        <v>98</v>
      </c>
      <c r="D59" s="2">
        <f>IF(C59="","",IFERROR(INDEX('Purchase Tracker'!$J$4:$J$300,MATCH(C59,'Purchase Tracker'!$A$4:$A$300,0)),""))</f>
        <v>16111567.000000002</v>
      </c>
      <c r="E59" s="2">
        <v>1000000</v>
      </c>
      <c r="F59" t="s">
        <v>28</v>
      </c>
    </row>
    <row r="60" spans="1:6">
      <c r="A60" s="17">
        <v>46232</v>
      </c>
      <c r="B60" t="s">
        <v>21</v>
      </c>
      <c r="C60" t="s">
        <v>98</v>
      </c>
      <c r="D60" s="2">
        <f>IF(C60="","",IFERROR(INDEX('Purchase Tracker'!$J$4:$J$300,MATCH(C60,'Purchase Tracker'!$A$4:$A$300,0)),""))</f>
        <v>16111567.000000002</v>
      </c>
      <c r="E60" s="2">
        <v>2000000</v>
      </c>
      <c r="F60" t="s">
        <v>28</v>
      </c>
    </row>
    <row r="61" spans="1:6">
      <c r="A61" s="17">
        <v>46232</v>
      </c>
      <c r="B61" s="20" t="s">
        <v>37</v>
      </c>
      <c r="C61" t="s">
        <v>127</v>
      </c>
      <c r="D61" s="2">
        <f>IF(C61="","",IFERROR(INDEX('Purchase Tracker'!$J$4:$J$300,MATCH(C61,'Purchase Tracker'!$A$4:$A$300,0)),""))</f>
        <v>4315434.9000000004</v>
      </c>
      <c r="E61" s="2">
        <v>1000000</v>
      </c>
      <c r="F61" t="s">
        <v>28</v>
      </c>
    </row>
    <row r="62" spans="1:6">
      <c r="A62" s="17">
        <v>46232</v>
      </c>
      <c r="B62" t="s">
        <v>43</v>
      </c>
      <c r="C62" t="s">
        <v>97</v>
      </c>
      <c r="D62" s="2">
        <f>IF(C62="","",IFERROR(INDEX('Purchase Tracker'!$J$4:$J$300,MATCH(C62,'Purchase Tracker'!$A$4:$A$300,0)),""))</f>
        <v>350459.00000000006</v>
      </c>
      <c r="E62" s="2">
        <v>350459</v>
      </c>
      <c r="F62" t="s">
        <v>28</v>
      </c>
    </row>
    <row r="63" spans="1:6">
      <c r="A63" s="17">
        <v>46232</v>
      </c>
      <c r="B63" t="s">
        <v>43</v>
      </c>
      <c r="C63" t="s">
        <v>91</v>
      </c>
      <c r="D63" s="2">
        <f>IF(C63="","",IFERROR(INDEX('Purchase Tracker'!$J$4:$J$300,MATCH(C63,'Purchase Tracker'!$A$4:$A$300,0)),""))</f>
        <v>6259315</v>
      </c>
      <c r="E63" s="2">
        <v>259315</v>
      </c>
      <c r="F63" t="s">
        <v>28</v>
      </c>
    </row>
    <row r="64" spans="1:6">
      <c r="A64" s="17">
        <v>46219</v>
      </c>
      <c r="B64" t="s">
        <v>36</v>
      </c>
      <c r="C64" t="s">
        <v>111</v>
      </c>
      <c r="D64" s="2">
        <f>IF(C64="","",IFERROR(INDEX('Purchase Tracker'!$J$4:$J$300,MATCH(C64,'Purchase Tracker'!$A$4:$A$300,0)),""))</f>
        <v>18652765.25</v>
      </c>
      <c r="E64" s="2">
        <v>1000000</v>
      </c>
      <c r="F64" t="s">
        <v>28</v>
      </c>
    </row>
    <row r="65" spans="1:6">
      <c r="A65" s="17">
        <v>46227</v>
      </c>
      <c r="B65" t="s">
        <v>36</v>
      </c>
      <c r="C65" t="s">
        <v>111</v>
      </c>
      <c r="D65" s="2">
        <f>IF(C65="","",IFERROR(INDEX('Purchase Tracker'!$J$4:$J$300,MATCH(C65,'Purchase Tracker'!$A$4:$A$300,0)),""))</f>
        <v>18652765.25</v>
      </c>
      <c r="E65" s="2">
        <v>2000000</v>
      </c>
      <c r="F65" t="s">
        <v>28</v>
      </c>
    </row>
    <row r="66" spans="1:6">
      <c r="A66" s="17">
        <v>46237</v>
      </c>
      <c r="B66" t="s">
        <v>21</v>
      </c>
      <c r="C66" t="s">
        <v>98</v>
      </c>
      <c r="D66" s="2">
        <f>IF(C66="","",IFERROR(INDEX('Purchase Tracker'!$J$4:$J$300,MATCH(C66,'Purchase Tracker'!$A$4:$A$300,0)),""))</f>
        <v>16111567.000000002</v>
      </c>
      <c r="E66" s="2">
        <v>1000000</v>
      </c>
      <c r="F66" t="s">
        <v>28</v>
      </c>
    </row>
    <row r="67" spans="1:6">
      <c r="A67" s="17">
        <v>46237</v>
      </c>
      <c r="B67" t="s">
        <v>36</v>
      </c>
      <c r="C67" t="s">
        <v>111</v>
      </c>
      <c r="D67" s="2">
        <f>IF(C67="","",IFERROR(INDEX('Purchase Tracker'!$J$4:$J$300,MATCH(C67,'Purchase Tracker'!$A$4:$A$300,0)),""))</f>
        <v>18652765.25</v>
      </c>
      <c r="E67" s="2">
        <v>1000000</v>
      </c>
      <c r="F67" t="s">
        <v>28</v>
      </c>
    </row>
    <row r="68" spans="1:6">
      <c r="A68" s="17">
        <v>46237</v>
      </c>
      <c r="B68" s="20" t="s">
        <v>37</v>
      </c>
      <c r="C68" t="s">
        <v>127</v>
      </c>
      <c r="D68" s="2">
        <f>IF(C68="","",IFERROR(INDEX('Purchase Tracker'!$J$4:$J$300,MATCH(C68,'Purchase Tracker'!$A$4:$A$300,0)),""))</f>
        <v>4315434.9000000004</v>
      </c>
      <c r="E68" s="2">
        <v>1000000</v>
      </c>
      <c r="F68" t="s">
        <v>28</v>
      </c>
    </row>
    <row r="69" spans="1:6">
      <c r="A69" s="17">
        <v>46237</v>
      </c>
      <c r="B69" t="s">
        <v>39</v>
      </c>
      <c r="C69" t="s">
        <v>112</v>
      </c>
      <c r="D69" s="2">
        <f>IF(C69="","",IFERROR(INDEX('Purchase Tracker'!$J$4:$J$300,MATCH(C69,'Purchase Tracker'!$A$4:$A$300,0)),""))</f>
        <v>3101354</v>
      </c>
      <c r="E69" s="2">
        <v>1000000</v>
      </c>
      <c r="F69" t="s">
        <v>28</v>
      </c>
    </row>
    <row r="70" spans="1:6">
      <c r="A70" s="17">
        <v>46245</v>
      </c>
      <c r="B70" t="s">
        <v>36</v>
      </c>
      <c r="C70" t="s">
        <v>111</v>
      </c>
      <c r="D70" s="2">
        <f>IF(C70="","",IFERROR(INDEX('Purchase Tracker'!$J$4:$J$300,MATCH(C70,'Purchase Tracker'!$A$4:$A$300,0)),""))</f>
        <v>18652765.25</v>
      </c>
      <c r="E70" s="2">
        <v>834065</v>
      </c>
      <c r="F70" t="s">
        <v>28</v>
      </c>
    </row>
    <row r="71" spans="1:6">
      <c r="A71" s="17">
        <v>46248</v>
      </c>
      <c r="B71" t="s">
        <v>21</v>
      </c>
      <c r="C71" t="s">
        <v>98</v>
      </c>
      <c r="D71" s="2">
        <f>IF(C71="","",IFERROR(INDEX('Purchase Tracker'!$J$4:$J$300,MATCH(C71,'Purchase Tracker'!$A$4:$A$300,0)),""))</f>
        <v>16111567.000000002</v>
      </c>
      <c r="E71" s="2">
        <v>1000000</v>
      </c>
      <c r="F71" t="s">
        <v>28</v>
      </c>
    </row>
    <row r="72" spans="1:6">
      <c r="A72" s="17">
        <v>46248</v>
      </c>
      <c r="B72" s="20" t="s">
        <v>37</v>
      </c>
      <c r="C72" t="s">
        <v>128</v>
      </c>
      <c r="D72" s="2">
        <f>IF(C72="","",IFERROR(INDEX('Purchase Tracker'!$J$4:$J$300,MATCH(C72,'Purchase Tracker'!$A$4:$A$300,0)),""))</f>
        <v>2189050.5</v>
      </c>
      <c r="E72" s="2">
        <v>1000000</v>
      </c>
      <c r="F72" t="s">
        <v>28</v>
      </c>
    </row>
    <row r="73" spans="1:6">
      <c r="A73" s="17">
        <v>46254</v>
      </c>
      <c r="B73" t="s">
        <v>36</v>
      </c>
      <c r="C73" t="s">
        <v>111</v>
      </c>
      <c r="D73" s="2">
        <f>IF(C73="","",IFERROR(INDEX('Purchase Tracker'!$J$4:$J$300,MATCH(C73,'Purchase Tracker'!$A$4:$A$300,0)),""))</f>
        <v>18652765.25</v>
      </c>
      <c r="E73" s="2">
        <v>1000000</v>
      </c>
      <c r="F73" t="s">
        <v>28</v>
      </c>
    </row>
    <row r="74" spans="1:6">
      <c r="A74" s="17">
        <v>46256</v>
      </c>
      <c r="B74" s="20" t="s">
        <v>37</v>
      </c>
      <c r="C74" t="s">
        <v>127</v>
      </c>
      <c r="D74" s="2">
        <f>IF(C74="","",IFERROR(INDEX('Purchase Tracker'!$J$4:$J$300,MATCH(C74,'Purchase Tracker'!$A$4:$A$300,0)),""))</f>
        <v>4315434.9000000004</v>
      </c>
      <c r="E74" s="2">
        <v>1000000</v>
      </c>
      <c r="F74" t="s">
        <v>28</v>
      </c>
    </row>
    <row r="75" spans="1:6">
      <c r="A75" s="17">
        <v>46256</v>
      </c>
      <c r="B75" t="s">
        <v>21</v>
      </c>
      <c r="C75" t="s">
        <v>98</v>
      </c>
      <c r="D75" s="2">
        <f>IF(C75="","",IFERROR(INDEX('Purchase Tracker'!$J$4:$J$300,MATCH(C75,'Purchase Tracker'!$A$4:$A$300,0)),""))</f>
        <v>16111567.000000002</v>
      </c>
      <c r="E75" s="2">
        <v>1000000</v>
      </c>
      <c r="F75" t="s">
        <v>28</v>
      </c>
    </row>
    <row r="76" spans="1:6">
      <c r="A76" s="17">
        <v>46270</v>
      </c>
      <c r="B76" t="s">
        <v>21</v>
      </c>
      <c r="C76" t="s">
        <v>98</v>
      </c>
      <c r="D76" s="2">
        <f>IF(C76="","",IFERROR(INDEX('Purchase Tracker'!$J$4:$J$300,MATCH(C76,'Purchase Tracker'!$A$4:$A$300,0)),""))</f>
        <v>16111567.000000002</v>
      </c>
      <c r="E76" s="2">
        <v>1000000</v>
      </c>
      <c r="F76" t="s">
        <v>28</v>
      </c>
    </row>
    <row r="77" spans="1:6">
      <c r="A77" s="17">
        <v>46270</v>
      </c>
      <c r="B77" t="s">
        <v>36</v>
      </c>
      <c r="C77" t="s">
        <v>111</v>
      </c>
      <c r="D77" s="2">
        <f>IF(C77="","",IFERROR(INDEX('Purchase Tracker'!$J$4:$J$300,MATCH(C77,'Purchase Tracker'!$A$4:$A$300,0)),""))</f>
        <v>18652765.25</v>
      </c>
      <c r="E77" s="2">
        <v>1000000</v>
      </c>
      <c r="F77" t="s">
        <v>28</v>
      </c>
    </row>
    <row r="78" spans="1:6">
      <c r="A78" s="17">
        <v>46270</v>
      </c>
      <c r="B78" t="s">
        <v>37</v>
      </c>
      <c r="C78" t="s">
        <v>127</v>
      </c>
      <c r="D78" s="2">
        <f>IF(C78="","",IFERROR(INDEX('Purchase Tracker'!$J$4:$J$300,MATCH(C78,'Purchase Tracker'!$A$4:$A$300,0)),""))</f>
        <v>4315434.9000000004</v>
      </c>
      <c r="E78" s="2">
        <v>1000000</v>
      </c>
      <c r="F78" t="s">
        <v>28</v>
      </c>
    </row>
    <row r="79" spans="1:6">
      <c r="A79" s="17">
        <v>46270</v>
      </c>
      <c r="B79" t="s">
        <v>41</v>
      </c>
      <c r="C79" t="s">
        <v>101</v>
      </c>
      <c r="D79" s="2">
        <f>IF(C79="","",IFERROR(INDEX('Purchase Tracker'!$J$4:$J$300,MATCH(C79,'Purchase Tracker'!$A$4:$A$300,0)),""))</f>
        <v>2096268.335</v>
      </c>
      <c r="E79" s="2">
        <v>1000000</v>
      </c>
      <c r="F79" t="s">
        <v>28</v>
      </c>
    </row>
    <row r="80" spans="1:6">
      <c r="A80" s="17">
        <v>46270</v>
      </c>
      <c r="B80" t="s">
        <v>42</v>
      </c>
      <c r="C80" t="s">
        <v>113</v>
      </c>
      <c r="D80" s="2">
        <f>IF(C80="","",IFERROR(INDEX('Purchase Tracker'!$J$4:$J$300,MATCH(C80,'Purchase Tracker'!$A$4:$A$300,0)),""))</f>
        <v>11154524</v>
      </c>
      <c r="E80" s="2">
        <v>1000000</v>
      </c>
      <c r="F80" t="s">
        <v>28</v>
      </c>
    </row>
    <row r="81" spans="1:6">
      <c r="A81" s="17">
        <v>46277</v>
      </c>
      <c r="B81" t="s">
        <v>37</v>
      </c>
      <c r="C81" t="s">
        <v>128</v>
      </c>
      <c r="D81" s="2">
        <f>IF(C81="","",IFERROR(INDEX('Purchase Tracker'!$J$4:$J$300,MATCH(C81,'Purchase Tracker'!$A$4:$A$300,0)),""))</f>
        <v>2189050.5</v>
      </c>
      <c r="E81" s="2">
        <v>1000000</v>
      </c>
      <c r="F81" t="s">
        <v>28</v>
      </c>
    </row>
    <row r="82" spans="1:6">
      <c r="A82" s="17">
        <v>46280</v>
      </c>
      <c r="B82" t="s">
        <v>36</v>
      </c>
      <c r="C82" t="s">
        <v>111</v>
      </c>
      <c r="D82" s="2">
        <f>IF(C82="","",IFERROR(INDEX('Purchase Tracker'!$J$4:$J$300,MATCH(C82,'Purchase Tracker'!$A$4:$A$300,0)),""))</f>
        <v>18652765.25</v>
      </c>
      <c r="E82" s="2">
        <v>1000000</v>
      </c>
      <c r="F82" t="s">
        <v>28</v>
      </c>
    </row>
    <row r="83" spans="1:6">
      <c r="A83" s="17">
        <v>46283</v>
      </c>
      <c r="B83" t="s">
        <v>41</v>
      </c>
      <c r="C83" t="s">
        <v>100</v>
      </c>
      <c r="D83" s="2">
        <f>IF(C83="","",IFERROR(INDEX('Purchase Tracker'!$J$4:$J$300,MATCH(C83,'Purchase Tracker'!$A$4:$A$300,0)),""))</f>
        <v>3984422</v>
      </c>
      <c r="E83" s="2">
        <v>1000000</v>
      </c>
      <c r="F83" t="s">
        <v>28</v>
      </c>
    </row>
    <row r="84" spans="1:6">
      <c r="A84" s="17">
        <v>46283</v>
      </c>
      <c r="B84" t="s">
        <v>21</v>
      </c>
      <c r="C84" t="s">
        <v>98</v>
      </c>
      <c r="D84" s="2">
        <f>IF(C84="","",IFERROR(INDEX('Purchase Tracker'!$J$4:$J$300,MATCH(C84,'Purchase Tracker'!$A$4:$A$300,0)),""))</f>
        <v>16111567.000000002</v>
      </c>
      <c r="E84" s="2">
        <v>1000000</v>
      </c>
      <c r="F84" t="s">
        <v>28</v>
      </c>
    </row>
    <row r="85" spans="1:6">
      <c r="A85" s="17">
        <v>46283</v>
      </c>
      <c r="B85" t="s">
        <v>37</v>
      </c>
      <c r="C85" t="s">
        <v>127</v>
      </c>
      <c r="D85" s="2">
        <f>IF(C85="","",IFERROR(INDEX('Purchase Tracker'!$J$4:$J$300,MATCH(C85,'Purchase Tracker'!$A$4:$A$300,0)),""))</f>
        <v>4315434.9000000004</v>
      </c>
      <c r="E85" s="2">
        <v>1000000</v>
      </c>
      <c r="F85" t="s">
        <v>28</v>
      </c>
    </row>
    <row r="86" spans="1:6">
      <c r="A86" s="17">
        <v>46288</v>
      </c>
      <c r="B86" t="s">
        <v>37</v>
      </c>
      <c r="C86" t="s">
        <v>129</v>
      </c>
      <c r="D86" s="2">
        <f>IF(C86="","",IFERROR(INDEX('Purchase Tracker'!$J$4:$J$300,MATCH(C86,'Purchase Tracker'!$A$4:$A$300,0)),""))</f>
        <v>2327598</v>
      </c>
      <c r="E86" s="2">
        <v>1000000</v>
      </c>
      <c r="F86" t="s">
        <v>28</v>
      </c>
    </row>
    <row r="87" spans="1:6">
      <c r="A87" s="17">
        <v>46288</v>
      </c>
      <c r="B87" t="s">
        <v>40</v>
      </c>
      <c r="C87" t="s">
        <v>77</v>
      </c>
      <c r="D87" s="2">
        <f>IF(C87="","",IFERROR(INDEX('Purchase Tracker'!$J$4:$J$300,MATCH(C87,'Purchase Tracker'!$A$4:$A$300,0)),""))</f>
        <v>10020689</v>
      </c>
      <c r="E87" s="2">
        <v>1000000</v>
      </c>
      <c r="F87" t="s">
        <v>28</v>
      </c>
    </row>
    <row r="88" spans="1:6">
      <c r="A88" s="17">
        <v>46288</v>
      </c>
      <c r="B88" t="s">
        <v>41</v>
      </c>
      <c r="C88" t="s">
        <v>100</v>
      </c>
      <c r="D88" s="2">
        <f>IF(C88="","",IFERROR(INDEX('Purchase Tracker'!$J$4:$J$300,MATCH(C88,'Purchase Tracker'!$A$4:$A$300,0)),""))</f>
        <v>3984422</v>
      </c>
      <c r="E88" s="2">
        <v>1000000</v>
      </c>
      <c r="F88" t="s">
        <v>28</v>
      </c>
    </row>
    <row r="89" spans="1:6">
      <c r="A89" s="17">
        <v>46288</v>
      </c>
      <c r="B89" t="s">
        <v>42</v>
      </c>
      <c r="C89" t="s">
        <v>113</v>
      </c>
      <c r="D89" s="2">
        <f>IF(C89="","",IFERROR(INDEX('Purchase Tracker'!$J$4:$J$300,MATCH(C89,'Purchase Tracker'!$A$4:$A$300,0)),""))</f>
        <v>11154524</v>
      </c>
      <c r="E89" s="2">
        <v>1000000</v>
      </c>
      <c r="F89" t="s">
        <v>28</v>
      </c>
    </row>
    <row r="90" spans="1:6">
      <c r="A90" s="17" t="s">
        <v>157</v>
      </c>
      <c r="B90" t="s">
        <v>21</v>
      </c>
      <c r="C90" t="s">
        <v>98</v>
      </c>
      <c r="D90" s="2">
        <f>IF(C90="","",IFERROR(INDEX('Purchase Tracker'!$J$4:$J$300,MATCH(C90,'Purchase Tracker'!$A$4:$A$300,0)),""))</f>
        <v>16111567.000000002</v>
      </c>
      <c r="E90" s="2">
        <v>922793</v>
      </c>
      <c r="F90" t="s">
        <v>28</v>
      </c>
    </row>
    <row r="91" spans="1:6">
      <c r="A91" s="17" t="s">
        <v>157</v>
      </c>
      <c r="B91" t="s">
        <v>36</v>
      </c>
      <c r="C91" t="s">
        <v>111</v>
      </c>
      <c r="D91" s="2">
        <f>IF(C91="","",IFERROR(INDEX('Purchase Tracker'!$J$4:$J$300,MATCH(C91,'Purchase Tracker'!$A$4:$A$300,0)),""))</f>
        <v>18652765.25</v>
      </c>
      <c r="E91" s="2">
        <v>1000000</v>
      </c>
      <c r="F91" t="s">
        <v>28</v>
      </c>
    </row>
    <row r="92" spans="1:6">
      <c r="A92" s="17" t="s">
        <v>157</v>
      </c>
      <c r="B92" t="s">
        <v>39</v>
      </c>
      <c r="C92" t="s">
        <v>112</v>
      </c>
      <c r="D92" s="2">
        <f>IF(C92="","",IFERROR(INDEX('Purchase Tracker'!$J$4:$J$300,MATCH(C92,'Purchase Tracker'!$A$4:$A$300,0)),""))</f>
        <v>3101354</v>
      </c>
      <c r="E92" s="2">
        <v>1000000</v>
      </c>
      <c r="F92" t="s">
        <v>28</v>
      </c>
    </row>
    <row r="93" spans="1:6">
      <c r="A93" s="17">
        <v>46297</v>
      </c>
      <c r="B93" t="s">
        <v>36</v>
      </c>
      <c r="C93" t="s">
        <v>111</v>
      </c>
      <c r="D93" s="2">
        <f>IF(C93="","",IFERROR(INDEX('Purchase Tracker'!$J$4:$J$300,MATCH(C93,'Purchase Tracker'!$A$4:$A$300,0)),""))</f>
        <v>18652765.25</v>
      </c>
      <c r="E93" s="2"/>
      <c r="F93" t="s">
        <v>28</v>
      </c>
    </row>
    <row r="94" spans="1:6">
      <c r="A94" s="17">
        <v>46297</v>
      </c>
      <c r="B94" t="s">
        <v>40</v>
      </c>
      <c r="C94" t="s">
        <v>77</v>
      </c>
      <c r="D94" s="2">
        <f>IF(C94="","",IFERROR(INDEX('Purchase Tracker'!$J$4:$J$300,MATCH(C94,'Purchase Tracker'!$A$4:$A$300,0)),""))</f>
        <v>10020689</v>
      </c>
      <c r="E94" s="2"/>
      <c r="F94" t="s">
        <v>28</v>
      </c>
    </row>
    <row r="95" spans="1:6">
      <c r="A95" s="17">
        <v>46297</v>
      </c>
      <c r="B95" t="s">
        <v>41</v>
      </c>
      <c r="C95" t="s">
        <v>100</v>
      </c>
      <c r="D95" s="2">
        <f>IF(C95="","",IFERROR(INDEX('Purchase Tracker'!$J$4:$J$300,MATCH(C95,'Purchase Tracker'!$A$4:$A$300,0)),""))</f>
        <v>3984422</v>
      </c>
      <c r="E95" s="2"/>
      <c r="F95" t="s">
        <v>28</v>
      </c>
    </row>
    <row r="96" spans="1:6">
      <c r="A96" s="17">
        <v>46297</v>
      </c>
      <c r="B96" t="s">
        <v>42</v>
      </c>
      <c r="C96" t="s">
        <v>113</v>
      </c>
      <c r="D96" s="2">
        <f>IF(C96="","",IFERROR(INDEX('Purchase Tracker'!$J$4:$J$300,MATCH(C96,'Purchase Tracker'!$A$4:$A$300,0)),""))</f>
        <v>11154524</v>
      </c>
      <c r="E96" s="2"/>
      <c r="F96" t="s">
        <v>28</v>
      </c>
    </row>
    <row r="97" spans="1:6">
      <c r="A97" s="17">
        <v>46297</v>
      </c>
      <c r="B97" t="s">
        <v>37</v>
      </c>
      <c r="C97" t="s">
        <v>129</v>
      </c>
      <c r="D97" s="2">
        <f>IF(C97="","",IFERROR(INDEX('Purchase Tracker'!$J$4:$J$300,MATCH(C97,'Purchase Tracker'!$A$4:$A$300,0)),""))</f>
        <v>2327598</v>
      </c>
      <c r="E97" s="2">
        <v>4092</v>
      </c>
      <c r="F97" t="s">
        <v>158</v>
      </c>
    </row>
    <row r="98" spans="1:6">
      <c r="A98" s="17">
        <v>46297</v>
      </c>
      <c r="B98" t="s">
        <v>37</v>
      </c>
      <c r="C98" t="s">
        <v>129</v>
      </c>
      <c r="D98" s="2">
        <f>IF(C98="","",IFERROR(INDEX('Purchase Tracker'!$J$4:$J$300,MATCH(C98,'Purchase Tracker'!$A$4:$A$300,0)),""))</f>
        <v>2327598</v>
      </c>
      <c r="E98" s="2">
        <v>1704</v>
      </c>
      <c r="F98" t="s">
        <v>158</v>
      </c>
    </row>
    <row r="99" spans="1:6">
      <c r="A99" s="17">
        <v>46298</v>
      </c>
      <c r="B99" t="s">
        <v>37</v>
      </c>
      <c r="C99" t="s">
        <v>129</v>
      </c>
      <c r="D99" s="2">
        <f>IF(C99="","",IFERROR(INDEX('Purchase Tracker'!$J$4:$J$300,MATCH(C99,'Purchase Tracker'!$A$4:$A$300,0)),""))</f>
        <v>2327598</v>
      </c>
      <c r="E99" s="2">
        <v>1450363.5</v>
      </c>
      <c r="F99" t="s">
        <v>28</v>
      </c>
    </row>
    <row r="100" spans="1:6">
      <c r="A100" s="17"/>
      <c r="D100" s="2" t="str">
        <f>IF(C100="","",IFERROR(INDEX('Purchase Tracker'!$J$4:$J$300,MATCH(C100,'Purchase Tracker'!$A$4:$A$300,0)),""))</f>
        <v/>
      </c>
      <c r="E100" s="2"/>
    </row>
    <row r="101" spans="1:6">
      <c r="A101" s="17"/>
      <c r="D101" s="2" t="str">
        <f>IF(C101="","",IFERROR(INDEX('Purchase Tracker'!$J$4:$J$300,MATCH(C101,'Purchase Tracker'!$A$4:$A$300,0)),""))</f>
        <v/>
      </c>
      <c r="E101" s="2"/>
    </row>
    <row r="102" spans="1:6">
      <c r="A102" s="17"/>
      <c r="D102" s="2" t="str">
        <f>IF(C102="","",IFERROR(INDEX('Purchase Tracker'!$J$4:$J$300,MATCH(C102,'Purchase Tracker'!$A$4:$A$300,0)),""))</f>
        <v/>
      </c>
      <c r="E102" s="2"/>
    </row>
    <row r="103" spans="1:6">
      <c r="A103" s="17"/>
      <c r="D103" s="2" t="str">
        <f>IF(C103="","",IFERROR(INDEX('Purchase Tracker'!$J$4:$J$300,MATCH(C103,'Purchase Tracker'!$A$4:$A$300,0)),""))</f>
        <v/>
      </c>
      <c r="E103" s="2"/>
    </row>
    <row r="104" spans="1:6">
      <c r="A104" s="17"/>
      <c r="D104" s="2" t="str">
        <f>IF(C104="","",IFERROR(INDEX('Purchase Tracker'!$J$4:$J$300,MATCH(C104,'Purchase Tracker'!$A$4:$A$300,0)),""))</f>
        <v/>
      </c>
      <c r="E104" s="2"/>
    </row>
    <row r="105" spans="1:6">
      <c r="A105" s="17"/>
      <c r="D105" s="2" t="str">
        <f>IF(C105="","",IFERROR(INDEX('Purchase Tracker'!$J$4:$J$300,MATCH(C105,'Purchase Tracker'!$A$4:$A$300,0)),""))</f>
        <v/>
      </c>
      <c r="E105" s="2"/>
    </row>
    <row r="106" spans="1:6">
      <c r="A106" s="17"/>
      <c r="D106" s="2" t="str">
        <f>IF(C106="","",IFERROR(INDEX('Purchase Tracker'!$J$4:$J$300,MATCH(C106,'Purchase Tracker'!$A$4:$A$300,0)),""))</f>
        <v/>
      </c>
      <c r="E106" s="2"/>
    </row>
    <row r="107" spans="1:6">
      <c r="A107" s="17"/>
      <c r="D107" s="2" t="str">
        <f>IF(C107="","",IFERROR(INDEX('Purchase Tracker'!$J$4:$J$300,MATCH(C107,'Purchase Tracker'!$A$4:$A$300,0)),""))</f>
        <v/>
      </c>
      <c r="E107" s="2"/>
    </row>
    <row r="108" spans="1:6">
      <c r="A108" s="17"/>
      <c r="D108" s="2" t="str">
        <f>IF(C108="","",IFERROR(INDEX('Purchase Tracker'!$J$4:$J$300,MATCH(C108,'Purchase Tracker'!$A$4:$A$300,0)),""))</f>
        <v/>
      </c>
      <c r="E108" s="2"/>
    </row>
    <row r="109" spans="1:6">
      <c r="A109" s="17"/>
      <c r="D109" s="2" t="str">
        <f>IF(C109="","",IFERROR(INDEX('Purchase Tracker'!$J$4:$J$300,MATCH(C109,'Purchase Tracker'!$A$4:$A$300,0)),""))</f>
        <v/>
      </c>
      <c r="E109" s="2"/>
    </row>
    <row r="110" spans="1:6">
      <c r="A110" s="17"/>
      <c r="D110" s="2" t="str">
        <f>IF(C110="","",IFERROR(INDEX('Purchase Tracker'!$J$4:$J$300,MATCH(C110,'Purchase Tracker'!$A$4:$A$300,0)),""))</f>
        <v/>
      </c>
      <c r="E110" s="2"/>
    </row>
    <row r="111" spans="1:6">
      <c r="A111" s="17"/>
      <c r="D111" s="2" t="str">
        <f>IF(C111="","",IFERROR(INDEX('Purchase Tracker'!$J$4:$J$300,MATCH(C111,'Purchase Tracker'!$A$4:$A$300,0)),""))</f>
        <v/>
      </c>
      <c r="E111" s="2"/>
    </row>
    <row r="112" spans="1:6">
      <c r="A112" s="17"/>
      <c r="D112" s="2" t="str">
        <f>IF(C112="","",IFERROR(INDEX('Purchase Tracker'!$J$4:$J$300,MATCH(C112,'Purchase Tracker'!$A$4:$A$300,0)),""))</f>
        <v/>
      </c>
      <c r="E112" s="2"/>
    </row>
    <row r="113" spans="1:5">
      <c r="A113" s="17"/>
      <c r="D113" s="2" t="str">
        <f>IF(C113="","",IFERROR(INDEX('Purchase Tracker'!$J$4:$J$300,MATCH(C113,'Purchase Tracker'!$A$4:$A$300,0)),""))</f>
        <v/>
      </c>
      <c r="E113" s="2"/>
    </row>
    <row r="114" spans="1:5">
      <c r="A114" s="17"/>
      <c r="D114" s="2" t="str">
        <f>IF(C114="","",IFERROR(INDEX('Purchase Tracker'!$J$4:$J$300,MATCH(C114,'Purchase Tracker'!$A$4:$A$300,0)),""))</f>
        <v/>
      </c>
      <c r="E114" s="2"/>
    </row>
    <row r="115" spans="1:5">
      <c r="A115" s="17"/>
      <c r="D115" s="2" t="str">
        <f>IF(C115="","",IFERROR(INDEX('Purchase Tracker'!$J$4:$J$300,MATCH(C115,'Purchase Tracker'!$A$4:$A$300,0)),""))</f>
        <v/>
      </c>
      <c r="E115" s="2"/>
    </row>
    <row r="116" spans="1:5">
      <c r="A116" s="17"/>
      <c r="D116" s="2" t="str">
        <f>IF(C116="","",IFERROR(INDEX('Purchase Tracker'!$J$4:$J$300,MATCH(C116,'Purchase Tracker'!$A$4:$A$300,0)),""))</f>
        <v/>
      </c>
      <c r="E116" s="2"/>
    </row>
    <row r="117" spans="1:5">
      <c r="A117" s="17"/>
      <c r="D117" s="2" t="str">
        <f>IF(C117="","",IFERROR(INDEX('Purchase Tracker'!$J$4:$J$300,MATCH(C117,'Purchase Tracker'!$A$4:$A$300,0)),""))</f>
        <v/>
      </c>
      <c r="E117" s="2"/>
    </row>
    <row r="118" spans="1:5">
      <c r="A118" s="17"/>
      <c r="D118" s="2" t="str">
        <f>IF(C118="","",IFERROR(INDEX('Purchase Tracker'!$J$4:$J$300,MATCH(C118,'Purchase Tracker'!$A$4:$A$300,0)),""))</f>
        <v/>
      </c>
      <c r="E118" s="2"/>
    </row>
    <row r="119" spans="1:5">
      <c r="A119" s="17"/>
      <c r="D119" s="2" t="str">
        <f>IF(C119="","",IFERROR(INDEX('Purchase Tracker'!$J$4:$J$300,MATCH(C119,'Purchase Tracker'!$A$4:$A$300,0)),""))</f>
        <v/>
      </c>
      <c r="E119" s="2"/>
    </row>
    <row r="120" spans="1:5">
      <c r="A120" s="17"/>
      <c r="D120" s="2" t="str">
        <f>IF(C120="","",IFERROR(INDEX('Purchase Tracker'!$J$4:$J$300,MATCH(C120,'Purchase Tracker'!$A$4:$A$300,0)),""))</f>
        <v/>
      </c>
      <c r="E120" s="2"/>
    </row>
    <row r="121" spans="1:5">
      <c r="A121" s="17"/>
      <c r="D121" s="2" t="str">
        <f>IF(C121="","",IFERROR(INDEX('Purchase Tracker'!$J$4:$J$300,MATCH(C121,'Purchase Tracker'!$A$4:$A$300,0)),""))</f>
        <v/>
      </c>
      <c r="E121" s="2"/>
    </row>
    <row r="122" spans="1:5">
      <c r="A122" s="17"/>
      <c r="D122" s="2" t="str">
        <f>IF(C122="","",IFERROR(INDEX('Purchase Tracker'!$J$4:$J$300,MATCH(C122,'Purchase Tracker'!$A$4:$A$300,0)),""))</f>
        <v/>
      </c>
      <c r="E122" s="2"/>
    </row>
    <row r="123" spans="1:5">
      <c r="A123" s="17"/>
      <c r="D123" s="2" t="str">
        <f>IF(C123="","",IFERROR(INDEX('Purchase Tracker'!$J$4:$J$300,MATCH(C123,'Purchase Tracker'!$A$4:$A$300,0)),""))</f>
        <v/>
      </c>
      <c r="E123" s="2"/>
    </row>
    <row r="124" spans="1:5">
      <c r="A124" s="17"/>
      <c r="D124" s="2" t="str">
        <f>IF(C124="","",IFERROR(INDEX('Purchase Tracker'!$J$4:$J$300,MATCH(C124,'Purchase Tracker'!$A$4:$A$300,0)),""))</f>
        <v/>
      </c>
      <c r="E124" s="2"/>
    </row>
    <row r="125" spans="1:5">
      <c r="A125" s="17"/>
      <c r="D125" s="2" t="str">
        <f>IF(C125="","",IFERROR(INDEX('Purchase Tracker'!$J$4:$J$300,MATCH(C125,'Purchase Tracker'!$A$4:$A$300,0)),""))</f>
        <v/>
      </c>
      <c r="E125" s="2"/>
    </row>
    <row r="126" spans="1:5">
      <c r="A126" s="17"/>
      <c r="D126" s="2" t="str">
        <f>IF(C126="","",IFERROR(INDEX('Purchase Tracker'!$J$4:$J$300,MATCH(C126,'Purchase Tracker'!$A$4:$A$300,0)),""))</f>
        <v/>
      </c>
      <c r="E126" s="2"/>
    </row>
    <row r="127" spans="1:5">
      <c r="A127" s="17"/>
      <c r="D127" s="2" t="str">
        <f>IF(C127="","",IFERROR(INDEX('Purchase Tracker'!$J$4:$J$300,MATCH(C127,'Purchase Tracker'!$A$4:$A$300,0)),""))</f>
        <v/>
      </c>
      <c r="E127" s="2"/>
    </row>
    <row r="128" spans="1:5">
      <c r="A128" s="17"/>
      <c r="D128" s="2" t="str">
        <f>IF(C128="","",IFERROR(INDEX('Purchase Tracker'!$J$4:$J$300,MATCH(C128,'Purchase Tracker'!$A$4:$A$300,0)),""))</f>
        <v/>
      </c>
      <c r="E128" s="2"/>
    </row>
    <row r="129" spans="1:5">
      <c r="A129" s="17"/>
      <c r="D129" s="2" t="str">
        <f>IF(C129="","",IFERROR(INDEX('Purchase Tracker'!$J$4:$J$300,MATCH(C129,'Purchase Tracker'!$A$4:$A$300,0)),""))</f>
        <v/>
      </c>
      <c r="E129" s="2"/>
    </row>
    <row r="130" spans="1:5">
      <c r="A130" s="17"/>
      <c r="D130" s="2" t="str">
        <f>IF(C130="","",IFERROR(INDEX('Purchase Tracker'!$J$4:$J$300,MATCH(C130,'Purchase Tracker'!$A$4:$A$300,0)),""))</f>
        <v/>
      </c>
      <c r="E130" s="2"/>
    </row>
    <row r="131" spans="1:5">
      <c r="A131" s="17"/>
      <c r="D131" s="2" t="str">
        <f>IF(C131="","",IFERROR(INDEX('Purchase Tracker'!$J$4:$J$300,MATCH(C131,'Purchase Tracker'!$A$4:$A$300,0)),""))</f>
        <v/>
      </c>
      <c r="E131" s="2"/>
    </row>
    <row r="132" spans="1:5">
      <c r="A132" s="17"/>
      <c r="D132" s="2" t="str">
        <f>IF(C132="","",IFERROR(INDEX('Purchase Tracker'!$J$4:$J$300,MATCH(C132,'Purchase Tracker'!$A$4:$A$300,0)),""))</f>
        <v/>
      </c>
      <c r="E132" s="2"/>
    </row>
    <row r="133" spans="1:5">
      <c r="A133" s="17"/>
      <c r="D133" s="2" t="str">
        <f>IF(C133="","",IFERROR(INDEX('Purchase Tracker'!$J$4:$J$300,MATCH(C133,'Purchase Tracker'!$A$4:$A$300,0)),""))</f>
        <v/>
      </c>
      <c r="E133" s="2"/>
    </row>
    <row r="134" spans="1:5">
      <c r="A134" s="17"/>
      <c r="D134" s="2" t="str">
        <f>IF(C134="","",IFERROR(INDEX('Purchase Tracker'!$J$4:$J$300,MATCH(C134,'Purchase Tracker'!$A$4:$A$300,0)),""))</f>
        <v/>
      </c>
      <c r="E134" s="2"/>
    </row>
    <row r="135" spans="1:5">
      <c r="A135" s="17"/>
      <c r="D135" s="2" t="str">
        <f>IF(C135="","",IFERROR(INDEX('Purchase Tracker'!$J$4:$J$300,MATCH(C135,'Purchase Tracker'!$A$4:$A$300,0)),""))</f>
        <v/>
      </c>
      <c r="E135" s="2"/>
    </row>
    <row r="136" spans="1:5">
      <c r="A136" s="17"/>
      <c r="D136" s="2" t="str">
        <f>IF(C136="","",IFERROR(INDEX('Purchase Tracker'!$J$4:$J$300,MATCH(C136,'Purchase Tracker'!$A$4:$A$300,0)),""))</f>
        <v/>
      </c>
      <c r="E136" s="2"/>
    </row>
    <row r="137" spans="1:5">
      <c r="A137" s="17"/>
      <c r="D137" s="2" t="str">
        <f>IF(C137="","",IFERROR(INDEX('Purchase Tracker'!$J$4:$J$300,MATCH(C137,'Purchase Tracker'!$A$4:$A$300,0)),""))</f>
        <v/>
      </c>
      <c r="E137" s="2"/>
    </row>
    <row r="138" spans="1:5">
      <c r="A138" s="17"/>
      <c r="D138" s="2" t="str">
        <f>IF(C138="","",IFERROR(INDEX('Purchase Tracker'!$J$4:$J$300,MATCH(C138,'Purchase Tracker'!$A$4:$A$300,0)),""))</f>
        <v/>
      </c>
      <c r="E138" s="2"/>
    </row>
    <row r="139" spans="1:5">
      <c r="A139" s="17"/>
      <c r="D139" s="2" t="str">
        <f>IF(C139="","",IFERROR(INDEX('Purchase Tracker'!$J$4:$J$300,MATCH(C139,'Purchase Tracker'!$A$4:$A$300,0)),""))</f>
        <v/>
      </c>
      <c r="E139" s="2"/>
    </row>
    <row r="140" spans="1:5">
      <c r="A140" s="17"/>
      <c r="D140" s="2" t="str">
        <f>IF(C140="","",IFERROR(INDEX('Purchase Tracker'!$J$4:$J$300,MATCH(C140,'Purchase Tracker'!$A$4:$A$300,0)),""))</f>
        <v/>
      </c>
      <c r="E140" s="2"/>
    </row>
    <row r="141" spans="1:5">
      <c r="A141" s="17"/>
      <c r="D141" s="2" t="str">
        <f>IF(C141="","",IFERROR(INDEX('Purchase Tracker'!$J$4:$J$300,MATCH(C141,'Purchase Tracker'!$A$4:$A$300,0)),""))</f>
        <v/>
      </c>
      <c r="E141" s="2"/>
    </row>
    <row r="142" spans="1:5">
      <c r="A142" s="17"/>
      <c r="D142" s="2" t="str">
        <f>IF(C142="","",IFERROR(INDEX('Purchase Tracker'!$J$4:$J$300,MATCH(C142,'Purchase Tracker'!$A$4:$A$300,0)),""))</f>
        <v/>
      </c>
      <c r="E142" s="2"/>
    </row>
    <row r="143" spans="1:5">
      <c r="A143" s="17"/>
      <c r="D143" s="2" t="str">
        <f>IF(C143="","",IFERROR(INDEX('Purchase Tracker'!$J$4:$J$300,MATCH(C143,'Purchase Tracker'!$A$4:$A$300,0)),""))</f>
        <v/>
      </c>
      <c r="E143" s="2"/>
    </row>
    <row r="144" spans="1:5">
      <c r="A144" s="17"/>
      <c r="D144" s="2" t="str">
        <f>IF(C144="","",IFERROR(INDEX('Purchase Tracker'!$J$4:$J$300,MATCH(C144,'Purchase Tracker'!$A$4:$A$300,0)),""))</f>
        <v/>
      </c>
      <c r="E144" s="2"/>
    </row>
    <row r="145" spans="1:5">
      <c r="A145" s="17"/>
      <c r="D145" s="2" t="str">
        <f>IF(C145="","",IFERROR(INDEX('Purchase Tracker'!$J$4:$J$300,MATCH(C145,'Purchase Tracker'!$A$4:$A$300,0)),""))</f>
        <v/>
      </c>
      <c r="E145" s="2"/>
    </row>
    <row r="146" spans="1:5">
      <c r="A146" s="17"/>
      <c r="D146" s="2" t="str">
        <f>IF(C146="","",IFERROR(INDEX('Purchase Tracker'!$J$4:$J$300,MATCH(C146,'Purchase Tracker'!$A$4:$A$300,0)),""))</f>
        <v/>
      </c>
      <c r="E146" s="2"/>
    </row>
    <row r="147" spans="1:5">
      <c r="A147" s="17"/>
      <c r="D147" s="2" t="str">
        <f>IF(C147="","",IFERROR(INDEX('Purchase Tracker'!$J$4:$J$300,MATCH(C147,'Purchase Tracker'!$A$4:$A$300,0)),""))</f>
        <v/>
      </c>
      <c r="E147" s="2"/>
    </row>
    <row r="148" spans="1:5">
      <c r="A148" s="17"/>
      <c r="D148" s="2" t="str">
        <f>IF(C148="","",IFERROR(INDEX('Purchase Tracker'!$J$4:$J$300,MATCH(C148,'Purchase Tracker'!$A$4:$A$300,0)),""))</f>
        <v/>
      </c>
      <c r="E148" s="2"/>
    </row>
    <row r="149" spans="1:5">
      <c r="A149" s="17"/>
      <c r="D149" s="2" t="str">
        <f>IF(C149="","",IFERROR(INDEX('Purchase Tracker'!$J$4:$J$300,MATCH(C149,'Purchase Tracker'!$A$4:$A$300,0)),""))</f>
        <v/>
      </c>
      <c r="E149" s="2"/>
    </row>
    <row r="150" spans="1:5">
      <c r="A150" s="17"/>
      <c r="D150" s="2" t="str">
        <f>IF(C150="","",IFERROR(INDEX('Purchase Tracker'!$J$4:$J$300,MATCH(C150,'Purchase Tracker'!$A$4:$A$300,0)),""))</f>
        <v/>
      </c>
      <c r="E150" s="2"/>
    </row>
    <row r="151" spans="1:5">
      <c r="A151" s="17"/>
      <c r="D151" s="2" t="str">
        <f>IF(C151="","",IFERROR(INDEX('Purchase Tracker'!$J$4:$J$300,MATCH(C151,'Purchase Tracker'!$A$4:$A$300,0)),""))</f>
        <v/>
      </c>
      <c r="E151" s="2"/>
    </row>
    <row r="152" spans="1:5">
      <c r="A152" s="17"/>
      <c r="D152" s="2" t="str">
        <f>IF(C152="","",IFERROR(INDEX('Purchase Tracker'!$J$4:$J$300,MATCH(C152,'Purchase Tracker'!$A$4:$A$300,0)),""))</f>
        <v/>
      </c>
      <c r="E152" s="2"/>
    </row>
    <row r="153" spans="1:5">
      <c r="A153" s="17"/>
      <c r="D153" s="2" t="str">
        <f>IF(C153="","",IFERROR(INDEX('Purchase Tracker'!$J$4:$J$300,MATCH(C153,'Purchase Tracker'!$A$4:$A$300,0)),""))</f>
        <v/>
      </c>
      <c r="E153" s="2"/>
    </row>
    <row r="154" spans="1:5">
      <c r="A154" s="17"/>
      <c r="D154" s="2" t="str">
        <f>IF(C154="","",IFERROR(INDEX('Purchase Tracker'!$J$4:$J$300,MATCH(C154,'Purchase Tracker'!$A$4:$A$300,0)),""))</f>
        <v/>
      </c>
      <c r="E154" s="2"/>
    </row>
    <row r="155" spans="1:5">
      <c r="A155" s="17"/>
      <c r="D155" s="2" t="str">
        <f>IF(C155="","",IFERROR(INDEX('Purchase Tracker'!$J$4:$J$300,MATCH(C155,'Purchase Tracker'!$A$4:$A$300,0)),""))</f>
        <v/>
      </c>
      <c r="E155" s="2"/>
    </row>
    <row r="156" spans="1:5">
      <c r="A156" s="17"/>
      <c r="D156" s="2" t="str">
        <f>IF(C156="","",IFERROR(INDEX('Purchase Tracker'!$J$4:$J$300,MATCH(C156,'Purchase Tracker'!$A$4:$A$300,0)),""))</f>
        <v/>
      </c>
      <c r="E156" s="2"/>
    </row>
    <row r="157" spans="1:5">
      <c r="A157" s="17"/>
      <c r="D157" s="2" t="str">
        <f>IF(C157="","",IFERROR(INDEX('Purchase Tracker'!$J$4:$J$300,MATCH(C157,'Purchase Tracker'!$A$4:$A$300,0)),""))</f>
        <v/>
      </c>
      <c r="E157" s="2"/>
    </row>
    <row r="158" spans="1:5">
      <c r="A158" s="17"/>
      <c r="D158" s="2" t="str">
        <f>IF(C158="","",IFERROR(INDEX('Purchase Tracker'!$J$4:$J$300,MATCH(C158,'Purchase Tracker'!$A$4:$A$300,0)),""))</f>
        <v/>
      </c>
      <c r="E158" s="2"/>
    </row>
    <row r="159" spans="1:5">
      <c r="A159" s="17"/>
      <c r="D159" s="2" t="str">
        <f>IF(C159="","",IFERROR(INDEX('Purchase Tracker'!$J$4:$J$300,MATCH(C159,'Purchase Tracker'!$A$4:$A$300,0)),""))</f>
        <v/>
      </c>
      <c r="E159" s="2"/>
    </row>
    <row r="160" spans="1:5">
      <c r="A160" s="17"/>
      <c r="D160" s="2" t="str">
        <f>IF(C160="","",IFERROR(INDEX('Purchase Tracker'!$J$4:$J$300,MATCH(C160,'Purchase Tracker'!$A$4:$A$300,0)),""))</f>
        <v/>
      </c>
      <c r="E160" s="2"/>
    </row>
    <row r="161" spans="1:5">
      <c r="A161" s="17"/>
      <c r="D161" s="2" t="str">
        <f>IF(C161="","",IFERROR(INDEX('Purchase Tracker'!$J$4:$J$300,MATCH(C161,'Purchase Tracker'!$A$4:$A$300,0)),""))</f>
        <v/>
      </c>
      <c r="E161" s="2"/>
    </row>
    <row r="162" spans="1:5">
      <c r="A162" s="17"/>
      <c r="D162" s="2" t="str">
        <f>IF(C162="","",IFERROR(INDEX('Purchase Tracker'!$J$4:$J$300,MATCH(C162,'Purchase Tracker'!$A$4:$A$300,0)),""))</f>
        <v/>
      </c>
      <c r="E162" s="2"/>
    </row>
    <row r="163" spans="1:5">
      <c r="A163" s="17"/>
      <c r="D163" s="2" t="str">
        <f>IF(C163="","",IFERROR(INDEX('Purchase Tracker'!$J$4:$J$300,MATCH(C163,'Purchase Tracker'!$A$4:$A$300,0)),""))</f>
        <v/>
      </c>
      <c r="E163" s="2"/>
    </row>
    <row r="164" spans="1:5">
      <c r="A164" s="17"/>
      <c r="D164" s="2" t="str">
        <f>IF(C164="","",IFERROR(INDEX('Purchase Tracker'!$J$4:$J$300,MATCH(C164,'Purchase Tracker'!$A$4:$A$300,0)),""))</f>
        <v/>
      </c>
      <c r="E164" s="2"/>
    </row>
    <row r="165" spans="1:5">
      <c r="A165" s="17"/>
      <c r="D165" s="2" t="str">
        <f>IF(C165="","",IFERROR(INDEX('Purchase Tracker'!$J$4:$J$300,MATCH(C165,'Purchase Tracker'!$A$4:$A$300,0)),""))</f>
        <v/>
      </c>
      <c r="E165" s="2"/>
    </row>
    <row r="166" spans="1:5">
      <c r="A166" s="17"/>
      <c r="D166" s="2" t="str">
        <f>IF(C166="","",IFERROR(INDEX('Purchase Tracker'!$J$4:$J$300,MATCH(C166,'Purchase Tracker'!$A$4:$A$300,0)),""))</f>
        <v/>
      </c>
      <c r="E166" s="2"/>
    </row>
    <row r="167" spans="1:5">
      <c r="A167" s="17"/>
      <c r="D167" s="2" t="str">
        <f>IF(C167="","",IFERROR(INDEX('Purchase Tracker'!$J$4:$J$300,MATCH(C167,'Purchase Tracker'!$A$4:$A$300,0)),""))</f>
        <v/>
      </c>
      <c r="E167" s="2"/>
    </row>
    <row r="168" spans="1:5">
      <c r="A168" s="17"/>
      <c r="D168" s="2" t="str">
        <f>IF(C168="","",IFERROR(INDEX('Purchase Tracker'!$J$4:$J$300,MATCH(C168,'Purchase Tracker'!$A$4:$A$300,0)),""))</f>
        <v/>
      </c>
      <c r="E168" s="2"/>
    </row>
    <row r="169" spans="1:5">
      <c r="A169" s="17"/>
      <c r="D169" s="2" t="str">
        <f>IF(C169="","",IFERROR(INDEX('Purchase Tracker'!$J$4:$J$300,MATCH(C169,'Purchase Tracker'!$A$4:$A$300,0)),""))</f>
        <v/>
      </c>
      <c r="E169" s="2"/>
    </row>
    <row r="170" spans="1:5">
      <c r="A170" s="17"/>
      <c r="D170" s="2" t="str">
        <f>IF(C170="","",IFERROR(INDEX('Purchase Tracker'!$J$4:$J$300,MATCH(C170,'Purchase Tracker'!$A$4:$A$300,0)),""))</f>
        <v/>
      </c>
      <c r="E170" s="2"/>
    </row>
    <row r="171" spans="1:5">
      <c r="A171" s="17"/>
      <c r="D171" s="2" t="str">
        <f>IF(C171="","",IFERROR(INDEX('Purchase Tracker'!$J$4:$J$300,MATCH(C171,'Purchase Tracker'!$A$4:$A$300,0)),""))</f>
        <v/>
      </c>
      <c r="E171" s="2"/>
    </row>
    <row r="172" spans="1:5">
      <c r="A172" s="17"/>
      <c r="D172" s="2" t="str">
        <f>IF(C172="","",IFERROR(INDEX('Purchase Tracker'!$J$4:$J$300,MATCH(C172,'Purchase Tracker'!$A$4:$A$300,0)),""))</f>
        <v/>
      </c>
      <c r="E172" s="2"/>
    </row>
    <row r="173" spans="1:5">
      <c r="A173" s="17"/>
      <c r="D173" s="2" t="str">
        <f>IF(C173="","",IFERROR(INDEX('Purchase Tracker'!$J$4:$J$300,MATCH(C173,'Purchase Tracker'!$A$4:$A$300,0)),""))</f>
        <v/>
      </c>
      <c r="E173" s="2"/>
    </row>
    <row r="174" spans="1:5">
      <c r="A174" s="17"/>
      <c r="D174" s="2" t="str">
        <f>IF(C174="","",IFERROR(INDEX('Purchase Tracker'!$J$4:$J$300,MATCH(C174,'Purchase Tracker'!$A$4:$A$300,0)),""))</f>
        <v/>
      </c>
      <c r="E174" s="2"/>
    </row>
    <row r="175" spans="1:5">
      <c r="A175" s="17"/>
      <c r="D175" s="2" t="str">
        <f>IF(C175="","",IFERROR(INDEX('Purchase Tracker'!$J$4:$J$300,MATCH(C175,'Purchase Tracker'!$A$4:$A$300,0)),""))</f>
        <v/>
      </c>
      <c r="E175" s="2"/>
    </row>
    <row r="176" spans="1:5">
      <c r="A176" s="17"/>
      <c r="D176" s="2" t="str">
        <f>IF(C176="","",IFERROR(INDEX('Purchase Tracker'!$J$4:$J$300,MATCH(C176,'Purchase Tracker'!$A$4:$A$300,0)),""))</f>
        <v/>
      </c>
      <c r="E176" s="2"/>
    </row>
    <row r="177" spans="1:5">
      <c r="A177" s="17"/>
      <c r="D177" s="2" t="str">
        <f>IF(C177="","",IFERROR(INDEX('Purchase Tracker'!$J$4:$J$300,MATCH(C177,'Purchase Tracker'!$A$4:$A$300,0)),""))</f>
        <v/>
      </c>
      <c r="E177" s="2"/>
    </row>
    <row r="178" spans="1:5">
      <c r="A178" s="17"/>
      <c r="D178" s="2" t="str">
        <f>IF(C178="","",IFERROR(INDEX('Purchase Tracker'!$J$4:$J$300,MATCH(C178,'Purchase Tracker'!$A$4:$A$300,0)),""))</f>
        <v/>
      </c>
      <c r="E178" s="2"/>
    </row>
    <row r="179" spans="1:5">
      <c r="A179" s="17"/>
      <c r="D179" s="2" t="str">
        <f>IF(C179="","",IFERROR(INDEX('Purchase Tracker'!$J$4:$J$300,MATCH(C179,'Purchase Tracker'!$A$4:$A$300,0)),""))</f>
        <v/>
      </c>
      <c r="E179" s="2"/>
    </row>
    <row r="180" spans="1:5">
      <c r="A180" s="17"/>
      <c r="D180" s="2" t="str">
        <f>IF(C180="","",IFERROR(INDEX('Purchase Tracker'!$J$4:$J$300,MATCH(C180,'Purchase Tracker'!$A$4:$A$300,0)),""))</f>
        <v/>
      </c>
      <c r="E180" s="2"/>
    </row>
    <row r="181" spans="1:5">
      <c r="A181" s="17"/>
      <c r="D181" s="2" t="str">
        <f>IF(C181="","",IFERROR(INDEX('Purchase Tracker'!$J$4:$J$300,MATCH(C181,'Purchase Tracker'!$A$4:$A$300,0)),""))</f>
        <v/>
      </c>
      <c r="E181" s="2"/>
    </row>
    <row r="182" spans="1:5">
      <c r="A182" s="17"/>
      <c r="D182" s="2" t="str">
        <f>IF(C182="","",IFERROR(INDEX('Purchase Tracker'!$J$4:$J$300,MATCH(C182,'Purchase Tracker'!$A$4:$A$300,0)),""))</f>
        <v/>
      </c>
      <c r="E182" s="2"/>
    </row>
    <row r="183" spans="1:5">
      <c r="A183" s="17"/>
      <c r="D183" s="2" t="str">
        <f>IF(C183="","",IFERROR(INDEX('Purchase Tracker'!$J$4:$J$300,MATCH(C183,'Purchase Tracker'!$A$4:$A$300,0)),""))</f>
        <v/>
      </c>
      <c r="E183" s="2"/>
    </row>
    <row r="184" spans="1:5">
      <c r="A184" s="17"/>
      <c r="D184" s="2" t="str">
        <f>IF(C184="","",IFERROR(INDEX('Purchase Tracker'!$J$4:$J$300,MATCH(C184,'Purchase Tracker'!$A$4:$A$300,0)),""))</f>
        <v/>
      </c>
      <c r="E184" s="2"/>
    </row>
    <row r="185" spans="1:5">
      <c r="A185" s="17"/>
      <c r="D185" s="2" t="str">
        <f>IF(C185="","",IFERROR(INDEX('Purchase Tracker'!$J$4:$J$300,MATCH(C185,'Purchase Tracker'!$A$4:$A$300,0)),""))</f>
        <v/>
      </c>
      <c r="E185" s="2"/>
    </row>
    <row r="186" spans="1:5">
      <c r="A186" s="17"/>
      <c r="D186" s="2" t="str">
        <f>IF(C186="","",IFERROR(INDEX('Purchase Tracker'!$J$4:$J$300,MATCH(C186,'Purchase Tracker'!$A$4:$A$300,0)),""))</f>
        <v/>
      </c>
      <c r="E186" s="2"/>
    </row>
    <row r="187" spans="1:5">
      <c r="A187" s="17"/>
      <c r="D187" s="2" t="str">
        <f>IF(C187="","",IFERROR(INDEX('Purchase Tracker'!$J$4:$J$300,MATCH(C187,'Purchase Tracker'!$A$4:$A$300,0)),""))</f>
        <v/>
      </c>
      <c r="E187" s="2"/>
    </row>
    <row r="188" spans="1:5">
      <c r="A188" s="17"/>
      <c r="D188" s="2" t="str">
        <f>IF(C188="","",IFERROR(INDEX('Purchase Tracker'!$J$4:$J$300,MATCH(C188,'Purchase Tracker'!$A$4:$A$300,0)),""))</f>
        <v/>
      </c>
      <c r="E188" s="2"/>
    </row>
    <row r="189" spans="1:5">
      <c r="A189" s="17"/>
      <c r="D189" s="2" t="str">
        <f>IF(C189="","",IFERROR(INDEX('Purchase Tracker'!$J$4:$J$300,MATCH(C189,'Purchase Tracker'!$A$4:$A$300,0)),""))</f>
        <v/>
      </c>
      <c r="E189" s="2"/>
    </row>
    <row r="190" spans="1:5">
      <c r="A190" s="17"/>
      <c r="D190" s="2" t="str">
        <f>IF(C190="","",IFERROR(INDEX('Purchase Tracker'!$J$4:$J$300,MATCH(C190,'Purchase Tracker'!$A$4:$A$300,0)),""))</f>
        <v/>
      </c>
      <c r="E190" s="2"/>
    </row>
    <row r="191" spans="1:5">
      <c r="A191" s="17"/>
      <c r="D191" s="2" t="str">
        <f>IF(C191="","",IFERROR(INDEX('Purchase Tracker'!$J$4:$J$300,MATCH(C191,'Purchase Tracker'!$A$4:$A$300,0)),""))</f>
        <v/>
      </c>
      <c r="E191" s="2"/>
    </row>
    <row r="192" spans="1:5">
      <c r="A192" s="17"/>
      <c r="D192" s="2" t="str">
        <f>IF(C192="","",IFERROR(INDEX('Purchase Tracker'!$J$4:$J$300,MATCH(C192,'Purchase Tracker'!$A$4:$A$300,0)),""))</f>
        <v/>
      </c>
      <c r="E192" s="2"/>
    </row>
    <row r="193" spans="1:5">
      <c r="A193" s="17"/>
      <c r="D193" s="2" t="str">
        <f>IF(C193="","",IFERROR(INDEX('Purchase Tracker'!$J$4:$J$300,MATCH(C193,'Purchase Tracker'!$A$4:$A$300,0)),""))</f>
        <v/>
      </c>
      <c r="E193" s="2"/>
    </row>
    <row r="194" spans="1:5">
      <c r="A194" s="17"/>
      <c r="D194" s="2" t="str">
        <f>IF(C194="","",IFERROR(INDEX('Purchase Tracker'!$J$4:$J$300,MATCH(C194,'Purchase Tracker'!$A$4:$A$300,0)),""))</f>
        <v/>
      </c>
      <c r="E194" s="2"/>
    </row>
    <row r="195" spans="1:5">
      <c r="A195" s="17"/>
      <c r="D195" s="2" t="str">
        <f>IF(C195="","",IFERROR(INDEX('Purchase Tracker'!$J$4:$J$300,MATCH(C195,'Purchase Tracker'!$A$4:$A$300,0)),""))</f>
        <v/>
      </c>
      <c r="E195" s="2"/>
    </row>
    <row r="196" spans="1:5">
      <c r="A196" s="17"/>
      <c r="D196" s="2" t="str">
        <f>IF(C196="","",IFERROR(INDEX('Purchase Tracker'!$J$4:$J$300,MATCH(C196,'Purchase Tracker'!$A$4:$A$300,0)),""))</f>
        <v/>
      </c>
      <c r="E196" s="2"/>
    </row>
    <row r="197" spans="1:5">
      <c r="A197" s="17"/>
      <c r="D197" s="2" t="str">
        <f>IF(C197="","",IFERROR(INDEX('Purchase Tracker'!$J$4:$J$300,MATCH(C197,'Purchase Tracker'!$A$4:$A$300,0)),""))</f>
        <v/>
      </c>
      <c r="E197" s="2"/>
    </row>
    <row r="198" spans="1:5">
      <c r="A198" s="17"/>
      <c r="D198" s="2" t="str">
        <f>IF(C198="","",IFERROR(INDEX('Purchase Tracker'!$J$4:$J$300,MATCH(C198,'Purchase Tracker'!$A$4:$A$300,0)),""))</f>
        <v/>
      </c>
      <c r="E198" s="2"/>
    </row>
    <row r="199" spans="1:5">
      <c r="A199" s="17"/>
      <c r="D199" s="2" t="str">
        <f>IF(C199="","",IFERROR(INDEX('Purchase Tracker'!$J$4:$J$300,MATCH(C199,'Purchase Tracker'!$A$4:$A$300,0)),""))</f>
        <v/>
      </c>
      <c r="E199" s="2"/>
    </row>
    <row r="200" spans="1:5">
      <c r="A200" s="17"/>
      <c r="D200" s="2" t="str">
        <f>IF(C200="","",IFERROR(INDEX('Purchase Tracker'!$J$4:$J$300,MATCH(C200,'Purchase Tracker'!$A$4:$A$300,0)),""))</f>
        <v/>
      </c>
      <c r="E200" s="2"/>
    </row>
    <row r="201" spans="1:5">
      <c r="A201" s="17"/>
      <c r="D201" s="2" t="str">
        <f>IF(C201="","",IFERROR(INDEX('Purchase Tracker'!$J$4:$J$300,MATCH(C201,'Purchase Tracker'!$A$4:$A$300,0)),""))</f>
        <v/>
      </c>
      <c r="E201" s="2"/>
    </row>
    <row r="202" spans="1:5">
      <c r="A202" s="17"/>
      <c r="D202" s="2" t="str">
        <f>IF(C202="","",IFERROR(INDEX('Purchase Tracker'!$J$4:$J$300,MATCH(C202,'Purchase Tracker'!$A$4:$A$300,0)),""))</f>
        <v/>
      </c>
      <c r="E202" s="2"/>
    </row>
    <row r="203" spans="1:5">
      <c r="A203" s="17"/>
      <c r="D203" s="2" t="str">
        <f>IF(C203="","",IFERROR(INDEX('Purchase Tracker'!$J$4:$J$300,MATCH(C203,'Purchase Tracker'!$A$4:$A$300,0)),""))</f>
        <v/>
      </c>
      <c r="E203" s="2"/>
    </row>
    <row r="204" spans="1:5">
      <c r="A204" s="17"/>
      <c r="D204" s="2" t="str">
        <f>IF(C204="","",IFERROR(INDEX('Purchase Tracker'!$J$4:$J$300,MATCH(C204,'Purchase Tracker'!$A$4:$A$300,0)),""))</f>
        <v/>
      </c>
      <c r="E204" s="2"/>
    </row>
    <row r="205" spans="1:5">
      <c r="A205" s="17"/>
      <c r="D205" s="2" t="str">
        <f>IF(C205="","",IFERROR(INDEX('Purchase Tracker'!$J$4:$J$300,MATCH(C205,'Purchase Tracker'!$A$4:$A$300,0)),""))</f>
        <v/>
      </c>
      <c r="E205" s="2"/>
    </row>
    <row r="206" spans="1:5">
      <c r="A206" s="17"/>
      <c r="D206" s="2" t="str">
        <f>IF(C206="","",IFERROR(INDEX('Purchase Tracker'!$J$4:$J$300,MATCH(C206,'Purchase Tracker'!$A$4:$A$300,0)),""))</f>
        <v/>
      </c>
      <c r="E206" s="2"/>
    </row>
    <row r="207" spans="1:5">
      <c r="A207" s="17"/>
      <c r="D207" s="2" t="str">
        <f>IF(C207="","",IFERROR(INDEX('Purchase Tracker'!$J$4:$J$300,MATCH(C207,'Purchase Tracker'!$A$4:$A$300,0)),""))</f>
        <v/>
      </c>
      <c r="E207" s="2"/>
    </row>
    <row r="208" spans="1:5">
      <c r="A208" s="17"/>
      <c r="D208" s="2" t="str">
        <f>IF(C208="","",IFERROR(INDEX('Purchase Tracker'!$J$4:$J$300,MATCH(C208,'Purchase Tracker'!$A$4:$A$300,0)),""))</f>
        <v/>
      </c>
      <c r="E208" s="2"/>
    </row>
    <row r="209" spans="1:5">
      <c r="A209" s="17"/>
      <c r="D209" s="2" t="str">
        <f>IF(C209="","",IFERROR(INDEX('Purchase Tracker'!$J$4:$J$300,MATCH(C209,'Purchase Tracker'!$A$4:$A$300,0)),""))</f>
        <v/>
      </c>
      <c r="E209" s="2"/>
    </row>
    <row r="210" spans="1:5">
      <c r="A210" s="17"/>
      <c r="D210" s="2" t="str">
        <f>IF(C210="","",IFERROR(INDEX('Purchase Tracker'!$J$4:$J$300,MATCH(C210,'Purchase Tracker'!$A$4:$A$300,0)),""))</f>
        <v/>
      </c>
      <c r="E210" s="2"/>
    </row>
    <row r="211" spans="1:5">
      <c r="A211" s="17"/>
      <c r="D211" s="2" t="str">
        <f>IF(C211="","",IFERROR(INDEX('Purchase Tracker'!$J$4:$J$300,MATCH(C211,'Purchase Tracker'!$A$4:$A$300,0)),""))</f>
        <v/>
      </c>
      <c r="E211" s="2"/>
    </row>
    <row r="212" spans="1:5">
      <c r="A212" s="17"/>
      <c r="D212" s="2" t="str">
        <f>IF(C212="","",IFERROR(INDEX('Purchase Tracker'!$J$4:$J$300,MATCH(C212,'Purchase Tracker'!$A$4:$A$300,0)),""))</f>
        <v/>
      </c>
      <c r="E212" s="2"/>
    </row>
    <row r="213" spans="1:5">
      <c r="A213" s="17"/>
      <c r="D213" s="2" t="str">
        <f>IF(C213="","",IFERROR(INDEX('Purchase Tracker'!$J$4:$J$300,MATCH(C213,'Purchase Tracker'!$A$4:$A$300,0)),""))</f>
        <v/>
      </c>
      <c r="E213" s="2"/>
    </row>
    <row r="214" spans="1:5">
      <c r="A214" s="17"/>
      <c r="D214" s="2" t="str">
        <f>IF(C214="","",IFERROR(INDEX('Purchase Tracker'!$J$4:$J$300,MATCH(C214,'Purchase Tracker'!$A$4:$A$300,0)),""))</f>
        <v/>
      </c>
      <c r="E214" s="2"/>
    </row>
    <row r="215" spans="1:5">
      <c r="A215" s="17"/>
      <c r="D215" s="2" t="str">
        <f>IF(C215="","",IFERROR(INDEX('Purchase Tracker'!$J$4:$J$300,MATCH(C215,'Purchase Tracker'!$A$4:$A$300,0)),""))</f>
        <v/>
      </c>
      <c r="E215" s="2"/>
    </row>
    <row r="216" spans="1:5">
      <c r="A216" s="17"/>
      <c r="D216" s="2" t="str">
        <f>IF(C216="","",IFERROR(INDEX('Purchase Tracker'!$J$4:$J$300,MATCH(C216,'Purchase Tracker'!$A$4:$A$300,0)),""))</f>
        <v/>
      </c>
      <c r="E216" s="2"/>
    </row>
    <row r="217" spans="1:5">
      <c r="A217" s="17"/>
      <c r="D217" s="2" t="str">
        <f>IF(C217="","",IFERROR(INDEX('Purchase Tracker'!$J$4:$J$300,MATCH(C217,'Purchase Tracker'!$A$4:$A$300,0)),""))</f>
        <v/>
      </c>
      <c r="E217" s="2"/>
    </row>
    <row r="218" spans="1:5">
      <c r="A218" s="17"/>
      <c r="D218" s="2" t="str">
        <f>IF(C218="","",IFERROR(INDEX('Purchase Tracker'!$J$4:$J$300,MATCH(C218,'Purchase Tracker'!$A$4:$A$300,0)),""))</f>
        <v/>
      </c>
      <c r="E218" s="2"/>
    </row>
    <row r="219" spans="1:5">
      <c r="A219" s="17"/>
      <c r="D219" s="2" t="str">
        <f>IF(C219="","",IFERROR(INDEX('Purchase Tracker'!$J$4:$J$300,MATCH(C219,'Purchase Tracker'!$A$4:$A$300,0)),""))</f>
        <v/>
      </c>
      <c r="E219" s="2"/>
    </row>
    <row r="220" spans="1:5">
      <c r="A220" s="17"/>
      <c r="D220" s="2" t="str">
        <f>IF(C220="","",IFERROR(INDEX('Purchase Tracker'!$J$4:$J$300,MATCH(C220,'Purchase Tracker'!$A$4:$A$300,0)),""))</f>
        <v/>
      </c>
      <c r="E220" s="2"/>
    </row>
    <row r="221" spans="1:5">
      <c r="A221" s="17"/>
      <c r="D221" s="2" t="str">
        <f>IF(C221="","",IFERROR(INDEX('Purchase Tracker'!$J$4:$J$300,MATCH(C221,'Purchase Tracker'!$A$4:$A$300,0)),""))</f>
        <v/>
      </c>
      <c r="E221" s="2"/>
    </row>
    <row r="222" spans="1:5">
      <c r="A222" s="17"/>
      <c r="D222" s="2" t="str">
        <f>IF(C222="","",IFERROR(INDEX('Purchase Tracker'!$J$4:$J$300,MATCH(C222,'Purchase Tracker'!$A$4:$A$300,0)),""))</f>
        <v/>
      </c>
      <c r="E222" s="2"/>
    </row>
    <row r="223" spans="1:5">
      <c r="A223" s="17"/>
      <c r="D223" s="2" t="str">
        <f>IF(C223="","",IFERROR(INDEX('Purchase Tracker'!$J$4:$J$300,MATCH(C223,'Purchase Tracker'!$A$4:$A$300,0)),""))</f>
        <v/>
      </c>
      <c r="E223" s="2"/>
    </row>
    <row r="224" spans="1:5">
      <c r="A224" s="17"/>
      <c r="D224" s="2" t="str">
        <f>IF(C224="","",IFERROR(INDEX('Purchase Tracker'!$J$4:$J$300,MATCH(C224,'Purchase Tracker'!$A$4:$A$300,0)),""))</f>
        <v/>
      </c>
      <c r="E224" s="2"/>
    </row>
    <row r="225" spans="1:5">
      <c r="A225" s="17"/>
      <c r="D225" s="2" t="str">
        <f>IF(C225="","",IFERROR(INDEX('Purchase Tracker'!$J$4:$J$300,MATCH(C225,'Purchase Tracker'!$A$4:$A$300,0)),""))</f>
        <v/>
      </c>
      <c r="E225" s="2"/>
    </row>
    <row r="226" spans="1:5">
      <c r="A226" s="17"/>
      <c r="D226" s="2" t="str">
        <f>IF(C226="","",IFERROR(INDEX('Purchase Tracker'!$J$4:$J$300,MATCH(C226,'Purchase Tracker'!$A$4:$A$300,0)),""))</f>
        <v/>
      </c>
      <c r="E226" s="2"/>
    </row>
    <row r="227" spans="1:5">
      <c r="A227" s="17"/>
      <c r="D227" s="2" t="str">
        <f>IF(C227="","",IFERROR(INDEX('Purchase Tracker'!$J$4:$J$300,MATCH(C227,'Purchase Tracker'!$A$4:$A$300,0)),""))</f>
        <v/>
      </c>
      <c r="E227" s="2"/>
    </row>
    <row r="228" spans="1:5">
      <c r="A228" s="17"/>
      <c r="D228" s="2" t="str">
        <f>IF(C228="","",IFERROR(INDEX('Purchase Tracker'!$J$4:$J$300,MATCH(C228,'Purchase Tracker'!$A$4:$A$300,0)),""))</f>
        <v/>
      </c>
      <c r="E228" s="2"/>
    </row>
    <row r="229" spans="1:5">
      <c r="A229" s="17"/>
      <c r="D229" s="2" t="str">
        <f>IF(C229="","",IFERROR(INDEX('Purchase Tracker'!$J$4:$J$300,MATCH(C229,'Purchase Tracker'!$A$4:$A$300,0)),""))</f>
        <v/>
      </c>
      <c r="E229" s="2"/>
    </row>
    <row r="230" spans="1:5">
      <c r="A230" s="17"/>
      <c r="D230" s="2" t="str">
        <f>IF(C230="","",IFERROR(INDEX('Purchase Tracker'!$J$4:$J$300,MATCH(C230,'Purchase Tracker'!$A$4:$A$300,0)),""))</f>
        <v/>
      </c>
      <c r="E230" s="2"/>
    </row>
    <row r="231" spans="1:5">
      <c r="A231" s="17"/>
      <c r="D231" s="2" t="str">
        <f>IF(C231="","",IFERROR(INDEX('Purchase Tracker'!$J$4:$J$300,MATCH(C231,'Purchase Tracker'!$A$4:$A$300,0)),""))</f>
        <v/>
      </c>
      <c r="E231" s="2"/>
    </row>
    <row r="232" spans="1:5">
      <c r="A232" s="17"/>
      <c r="D232" s="2" t="str">
        <f>IF(C232="","",IFERROR(INDEX('Purchase Tracker'!$J$4:$J$300,MATCH(C232,'Purchase Tracker'!$A$4:$A$300,0)),""))</f>
        <v/>
      </c>
      <c r="E232" s="2"/>
    </row>
    <row r="233" spans="1:5">
      <c r="A233" s="17"/>
      <c r="D233" s="2" t="str">
        <f>IF(C233="","",IFERROR(INDEX('Purchase Tracker'!$J$4:$J$300,MATCH(C233,'Purchase Tracker'!$A$4:$A$300,0)),""))</f>
        <v/>
      </c>
      <c r="E233" s="2"/>
    </row>
    <row r="234" spans="1:5">
      <c r="A234" s="17"/>
      <c r="D234" s="2" t="str">
        <f>IF(C234="","",IFERROR(INDEX('Purchase Tracker'!$J$4:$J$300,MATCH(C234,'Purchase Tracker'!$A$4:$A$300,0)),""))</f>
        <v/>
      </c>
      <c r="E234" s="2"/>
    </row>
    <row r="235" spans="1:5">
      <c r="A235" s="17"/>
      <c r="D235" s="2" t="str">
        <f>IF(C235="","",IFERROR(INDEX('Purchase Tracker'!$J$4:$J$300,MATCH(C235,'Purchase Tracker'!$A$4:$A$300,0)),""))</f>
        <v/>
      </c>
      <c r="E235" s="2"/>
    </row>
    <row r="236" spans="1:5">
      <c r="A236" s="17"/>
      <c r="D236" s="2" t="str">
        <f>IF(C236="","",IFERROR(INDEX('Purchase Tracker'!$J$4:$J$300,MATCH(C236,'Purchase Tracker'!$A$4:$A$300,0)),""))</f>
        <v/>
      </c>
      <c r="E236" s="2"/>
    </row>
    <row r="237" spans="1:5">
      <c r="A237" s="17"/>
      <c r="D237" s="2" t="str">
        <f>IF(C237="","",IFERROR(INDEX('Purchase Tracker'!$J$4:$J$300,MATCH(C237,'Purchase Tracker'!$A$4:$A$300,0)),""))</f>
        <v/>
      </c>
      <c r="E237" s="2"/>
    </row>
    <row r="238" spans="1:5">
      <c r="A238" s="17"/>
      <c r="D238" s="2" t="str">
        <f>IF(C238="","",IFERROR(INDEX('Purchase Tracker'!$J$4:$J$300,MATCH(C238,'Purchase Tracker'!$A$4:$A$300,0)),""))</f>
        <v/>
      </c>
      <c r="E238" s="2"/>
    </row>
    <row r="239" spans="1:5">
      <c r="A239" s="17"/>
      <c r="D239" s="2" t="str">
        <f>IF(C239="","",IFERROR(INDEX('Purchase Tracker'!$J$4:$J$300,MATCH(C239,'Purchase Tracker'!$A$4:$A$300,0)),""))</f>
        <v/>
      </c>
      <c r="E239" s="2"/>
    </row>
    <row r="240" spans="1:5">
      <c r="A240" s="17"/>
      <c r="D240" s="2" t="str">
        <f>IF(C240="","",IFERROR(INDEX('Purchase Tracker'!$J$4:$J$300,MATCH(C240,'Purchase Tracker'!$A$4:$A$300,0)),""))</f>
        <v/>
      </c>
      <c r="E240" s="2"/>
    </row>
    <row r="241" spans="1:5">
      <c r="A241" s="17"/>
      <c r="D241" s="2" t="str">
        <f>IF(C241="","",IFERROR(INDEX('Purchase Tracker'!$J$4:$J$300,MATCH(C241,'Purchase Tracker'!$A$4:$A$300,0)),""))</f>
        <v/>
      </c>
      <c r="E241" s="2"/>
    </row>
    <row r="242" spans="1:5">
      <c r="A242" s="17"/>
      <c r="D242" s="2" t="str">
        <f>IF(C242="","",IFERROR(INDEX('Purchase Tracker'!$J$4:$J$300,MATCH(C242,'Purchase Tracker'!$A$4:$A$300,0)),""))</f>
        <v/>
      </c>
      <c r="E242" s="2"/>
    </row>
    <row r="243" spans="1:5">
      <c r="A243" s="17"/>
      <c r="D243" s="2" t="str">
        <f>IF(C243="","",IFERROR(INDEX('Purchase Tracker'!$J$4:$J$300,MATCH(C243,'Purchase Tracker'!$A$4:$A$300,0)),""))</f>
        <v/>
      </c>
      <c r="E243" s="2"/>
    </row>
    <row r="244" spans="1:5">
      <c r="A244" s="17"/>
      <c r="D244" s="2" t="str">
        <f>IF(C244="","",IFERROR(INDEX('Purchase Tracker'!$J$4:$J$300,MATCH(C244,'Purchase Tracker'!$A$4:$A$300,0)),""))</f>
        <v/>
      </c>
      <c r="E244" s="2"/>
    </row>
    <row r="245" spans="1:5">
      <c r="A245" s="17"/>
      <c r="D245" s="2" t="str">
        <f>IF(C245="","",IFERROR(INDEX('Purchase Tracker'!$J$4:$J$300,MATCH(C245,'Purchase Tracker'!$A$4:$A$300,0)),""))</f>
        <v/>
      </c>
      <c r="E245" s="2"/>
    </row>
    <row r="246" spans="1:5">
      <c r="A246" s="17"/>
      <c r="D246" s="2" t="str">
        <f>IF(C246="","",IFERROR(INDEX('Purchase Tracker'!$J$4:$J$300,MATCH(C246,'Purchase Tracker'!$A$4:$A$300,0)),""))</f>
        <v/>
      </c>
      <c r="E246" s="2"/>
    </row>
    <row r="247" spans="1:5">
      <c r="A247" s="17"/>
      <c r="D247" s="2" t="str">
        <f>IF(C247="","",IFERROR(INDEX('Purchase Tracker'!$J$4:$J$300,MATCH(C247,'Purchase Tracker'!$A$4:$A$300,0)),""))</f>
        <v/>
      </c>
      <c r="E247" s="2"/>
    </row>
    <row r="248" spans="1:5">
      <c r="A248" s="17"/>
      <c r="D248" s="2" t="str">
        <f>IF(C248="","",IFERROR(INDEX('Purchase Tracker'!$J$4:$J$300,MATCH(C248,'Purchase Tracker'!$A$4:$A$300,0)),""))</f>
        <v/>
      </c>
      <c r="E248" s="2"/>
    </row>
    <row r="249" spans="1:5">
      <c r="A249" s="17"/>
      <c r="D249" s="2" t="str">
        <f>IF(C249="","",IFERROR(INDEX('Purchase Tracker'!$J$4:$J$300,MATCH(C249,'Purchase Tracker'!$A$4:$A$300,0)),""))</f>
        <v/>
      </c>
      <c r="E249" s="2"/>
    </row>
    <row r="250" spans="1:5">
      <c r="A250" s="17"/>
      <c r="D250" s="2" t="str">
        <f>IF(C250="","",IFERROR(INDEX('Purchase Tracker'!$J$4:$J$300,MATCH(C250,'Purchase Tracker'!$A$4:$A$300,0)),""))</f>
        <v/>
      </c>
      <c r="E250" s="2"/>
    </row>
    <row r="251" spans="1:5">
      <c r="A251" s="17"/>
      <c r="D251" s="2" t="str">
        <f>IF(C251="","",IFERROR(INDEX('Purchase Tracker'!$J$4:$J$300,MATCH(C251,'Purchase Tracker'!$A$4:$A$300,0)),""))</f>
        <v/>
      </c>
      <c r="E251" s="2"/>
    </row>
    <row r="252" spans="1:5">
      <c r="A252" s="17"/>
      <c r="D252" s="2" t="str">
        <f>IF(C252="","",IFERROR(INDEX('Purchase Tracker'!$J$4:$J$300,MATCH(C252,'Purchase Tracker'!$A$4:$A$300,0)),""))</f>
        <v/>
      </c>
      <c r="E252" s="2"/>
    </row>
    <row r="253" spans="1:5">
      <c r="A253" s="17"/>
      <c r="D253" s="2" t="str">
        <f>IF(C253="","",IFERROR(INDEX('Purchase Tracker'!$J$4:$J$300,MATCH(C253,'Purchase Tracker'!$A$4:$A$300,0)),""))</f>
        <v/>
      </c>
      <c r="E253" s="2"/>
    </row>
    <row r="254" spans="1:5">
      <c r="A254" s="17"/>
      <c r="D254" s="2" t="str">
        <f>IF(C254="","",IFERROR(INDEX('Purchase Tracker'!$J$4:$J$300,MATCH(C254,'Purchase Tracker'!$A$4:$A$300,0)),""))</f>
        <v/>
      </c>
      <c r="E254" s="2"/>
    </row>
    <row r="255" spans="1:5">
      <c r="A255" s="17"/>
      <c r="D255" s="2" t="str">
        <f>IF(C255="","",IFERROR(INDEX('Purchase Tracker'!$J$4:$J$300,MATCH(C255,'Purchase Tracker'!$A$4:$A$300,0)),""))</f>
        <v/>
      </c>
      <c r="E255" s="2"/>
    </row>
    <row r="256" spans="1:5">
      <c r="A256" s="17"/>
      <c r="D256" s="2" t="str">
        <f>IF(C256="","",IFERROR(INDEX('Purchase Tracker'!$J$4:$J$300,MATCH(C256,'Purchase Tracker'!$A$4:$A$300,0)),""))</f>
        <v/>
      </c>
      <c r="E256" s="2"/>
    </row>
    <row r="257" spans="1:5">
      <c r="A257" s="17"/>
      <c r="D257" s="2" t="str">
        <f>IF(C257="","",IFERROR(INDEX('Purchase Tracker'!$J$4:$J$300,MATCH(C257,'Purchase Tracker'!$A$4:$A$300,0)),""))</f>
        <v/>
      </c>
      <c r="E257" s="2"/>
    </row>
    <row r="258" spans="1:5">
      <c r="A258" s="17"/>
      <c r="D258" s="2" t="str">
        <f>IF(C258="","",IFERROR(INDEX('Purchase Tracker'!$J$4:$J$300,MATCH(C258,'Purchase Tracker'!$A$4:$A$300,0)),""))</f>
        <v/>
      </c>
      <c r="E258" s="2"/>
    </row>
    <row r="259" spans="1:5">
      <c r="A259" s="17"/>
      <c r="D259" s="2" t="str">
        <f>IF(C259="","",IFERROR(INDEX('Purchase Tracker'!$J$4:$J$300,MATCH(C259,'Purchase Tracker'!$A$4:$A$300,0)),""))</f>
        <v/>
      </c>
      <c r="E259" s="2"/>
    </row>
    <row r="260" spans="1:5">
      <c r="A260" s="17"/>
      <c r="D260" s="2" t="str">
        <f>IF(C260="","",IFERROR(INDEX('Purchase Tracker'!$J$4:$J$300,MATCH(C260,'Purchase Tracker'!$A$4:$A$300,0)),""))</f>
        <v/>
      </c>
      <c r="E260" s="2"/>
    </row>
    <row r="261" spans="1:5">
      <c r="A261" s="17"/>
      <c r="D261" s="2" t="str">
        <f>IF(C261="","",IFERROR(INDEX('Purchase Tracker'!$J$4:$J$300,MATCH(C261,'Purchase Tracker'!$A$4:$A$300,0)),""))</f>
        <v/>
      </c>
      <c r="E261" s="2"/>
    </row>
    <row r="262" spans="1:5">
      <c r="A262" s="17"/>
      <c r="D262" s="2" t="str">
        <f>IF(C262="","",IFERROR(INDEX('Purchase Tracker'!$J$4:$J$300,MATCH(C262,'Purchase Tracker'!$A$4:$A$300,0)),""))</f>
        <v/>
      </c>
      <c r="E262" s="2"/>
    </row>
    <row r="263" spans="1:5">
      <c r="A263" s="17"/>
      <c r="D263" s="2" t="str">
        <f>IF(C263="","",IFERROR(INDEX('Purchase Tracker'!$J$4:$J$300,MATCH(C263,'Purchase Tracker'!$A$4:$A$300,0)),""))</f>
        <v/>
      </c>
      <c r="E263" s="2"/>
    </row>
    <row r="264" spans="1:5">
      <c r="A264" s="17"/>
      <c r="D264" s="2" t="str">
        <f>IF(C264="","",IFERROR(INDEX('Purchase Tracker'!$J$4:$J$300,MATCH(C264,'Purchase Tracker'!$A$4:$A$300,0)),""))</f>
        <v/>
      </c>
      <c r="E264" s="2"/>
    </row>
    <row r="265" spans="1:5">
      <c r="A265" s="17"/>
      <c r="D265" s="2" t="str">
        <f>IF(C265="","",IFERROR(INDEX('Purchase Tracker'!$J$4:$J$300,MATCH(C265,'Purchase Tracker'!$A$4:$A$300,0)),""))</f>
        <v/>
      </c>
      <c r="E265" s="2"/>
    </row>
    <row r="266" spans="1:5">
      <c r="A266" s="17"/>
      <c r="D266" s="2" t="str">
        <f>IF(C266="","",IFERROR(INDEX('Purchase Tracker'!$J$4:$J$300,MATCH(C266,'Purchase Tracker'!$A$4:$A$300,0)),""))</f>
        <v/>
      </c>
      <c r="E266" s="2"/>
    </row>
    <row r="267" spans="1:5">
      <c r="A267" s="17"/>
      <c r="D267" s="2" t="str">
        <f>IF(C267="","",IFERROR(INDEX('Purchase Tracker'!$J$4:$J$300,MATCH(C267,'Purchase Tracker'!$A$4:$A$300,0)),""))</f>
        <v/>
      </c>
      <c r="E267" s="2"/>
    </row>
    <row r="268" spans="1:5">
      <c r="A268" s="17"/>
      <c r="D268" s="2" t="str">
        <f>IF(C268="","",IFERROR(INDEX('Purchase Tracker'!$J$4:$J$300,MATCH(C268,'Purchase Tracker'!$A$4:$A$300,0)),""))</f>
        <v/>
      </c>
      <c r="E268" s="2"/>
    </row>
    <row r="269" spans="1:5">
      <c r="A269" s="17"/>
      <c r="D269" s="2" t="str">
        <f>IF(C269="","",IFERROR(INDEX('Purchase Tracker'!$J$4:$J$300,MATCH(C269,'Purchase Tracker'!$A$4:$A$300,0)),""))</f>
        <v/>
      </c>
      <c r="E269" s="2"/>
    </row>
    <row r="270" spans="1:5">
      <c r="A270" s="17"/>
      <c r="D270" s="2" t="str">
        <f>IF(C270="","",IFERROR(INDEX('Purchase Tracker'!$J$4:$J$300,MATCH(C270,'Purchase Tracker'!$A$4:$A$300,0)),""))</f>
        <v/>
      </c>
      <c r="E270" s="2"/>
    </row>
    <row r="271" spans="1:5">
      <c r="A271" s="17"/>
      <c r="D271" s="2" t="str">
        <f>IF(C271="","",IFERROR(INDEX('Purchase Tracker'!$J$4:$J$300,MATCH(C271,'Purchase Tracker'!$A$4:$A$300,0)),""))</f>
        <v/>
      </c>
      <c r="E271" s="2"/>
    </row>
    <row r="272" spans="1:5">
      <c r="A272" s="17"/>
      <c r="D272" s="2" t="str">
        <f>IF(C272="","",IFERROR(INDEX('Purchase Tracker'!$J$4:$J$300,MATCH(C272,'Purchase Tracker'!$A$4:$A$300,0)),""))</f>
        <v/>
      </c>
      <c r="E272" s="2"/>
    </row>
    <row r="273" spans="1:5">
      <c r="A273" s="17"/>
      <c r="D273" s="2" t="str">
        <f>IF(C273="","",IFERROR(INDEX('Purchase Tracker'!$J$4:$J$300,MATCH(C273,'Purchase Tracker'!$A$4:$A$300,0)),""))</f>
        <v/>
      </c>
      <c r="E273" s="2"/>
    </row>
    <row r="274" spans="1:5">
      <c r="A274" s="17"/>
      <c r="D274" s="2" t="str">
        <f>IF(C274="","",IFERROR(INDEX('Purchase Tracker'!$J$4:$J$300,MATCH(C274,'Purchase Tracker'!$A$4:$A$300,0)),""))</f>
        <v/>
      </c>
      <c r="E274" s="2"/>
    </row>
    <row r="275" spans="1:5">
      <c r="A275" s="17"/>
      <c r="D275" s="2" t="str">
        <f>IF(C275="","",IFERROR(INDEX('Purchase Tracker'!$J$4:$J$300,MATCH(C275,'Purchase Tracker'!$A$4:$A$300,0)),""))</f>
        <v/>
      </c>
      <c r="E275" s="2"/>
    </row>
    <row r="276" spans="1:5">
      <c r="A276" s="17"/>
      <c r="D276" s="2" t="str">
        <f>IF(C276="","",IFERROR(INDEX('Purchase Tracker'!$J$4:$J$300,MATCH(C276,'Purchase Tracker'!$A$4:$A$300,0)),""))</f>
        <v/>
      </c>
      <c r="E276" s="2"/>
    </row>
    <row r="277" spans="1:5">
      <c r="A277" s="17"/>
      <c r="D277" s="2" t="str">
        <f>IF(C277="","",IFERROR(INDEX('Purchase Tracker'!$J$4:$J$300,MATCH(C277,'Purchase Tracker'!$A$4:$A$300,0)),""))</f>
        <v/>
      </c>
      <c r="E277" s="2"/>
    </row>
    <row r="278" spans="1:5">
      <c r="A278" s="17"/>
      <c r="D278" s="2" t="str">
        <f>IF(C278="","",IFERROR(INDEX('Purchase Tracker'!$J$4:$J$300,MATCH(C278,'Purchase Tracker'!$A$4:$A$300,0)),""))</f>
        <v/>
      </c>
      <c r="E278" s="2"/>
    </row>
    <row r="279" spans="1:5">
      <c r="A279" s="17"/>
      <c r="D279" s="2" t="str">
        <f>IF(C279="","",IFERROR(INDEX('Purchase Tracker'!$J$4:$J$300,MATCH(C279,'Purchase Tracker'!$A$4:$A$300,0)),""))</f>
        <v/>
      </c>
      <c r="E279" s="2"/>
    </row>
    <row r="280" spans="1:5">
      <c r="A280" s="17"/>
      <c r="D280" s="2" t="str">
        <f>IF(C280="","",IFERROR(INDEX('Purchase Tracker'!$J$4:$J$300,MATCH(C280,'Purchase Tracker'!$A$4:$A$300,0)),""))</f>
        <v/>
      </c>
      <c r="E280" s="2"/>
    </row>
    <row r="281" spans="1:5">
      <c r="A281" s="17"/>
      <c r="D281" s="2" t="str">
        <f>IF(C281="","",IFERROR(INDEX('Purchase Tracker'!$J$4:$J$300,MATCH(C281,'Purchase Tracker'!$A$4:$A$300,0)),""))</f>
        <v/>
      </c>
      <c r="E281" s="2"/>
    </row>
    <row r="282" spans="1:5">
      <c r="A282" s="17"/>
      <c r="D282" s="2" t="str">
        <f>IF(C282="","",IFERROR(INDEX('Purchase Tracker'!$J$4:$J$300,MATCH(C282,'Purchase Tracker'!$A$4:$A$300,0)),""))</f>
        <v/>
      </c>
      <c r="E282" s="2"/>
    </row>
    <row r="283" spans="1:5">
      <c r="A283" s="17"/>
      <c r="D283" s="2" t="str">
        <f>IF(C283="","",IFERROR(INDEX('Purchase Tracker'!$J$4:$J$300,MATCH(C283,'Purchase Tracker'!$A$4:$A$300,0)),""))</f>
        <v/>
      </c>
      <c r="E283" s="2"/>
    </row>
    <row r="284" spans="1:5">
      <c r="A284" s="17"/>
      <c r="D284" s="2" t="str">
        <f>IF(C284="","",IFERROR(INDEX('Purchase Tracker'!$J$4:$J$300,MATCH(C284,'Purchase Tracker'!$A$4:$A$300,0)),""))</f>
        <v/>
      </c>
      <c r="E284" s="2"/>
    </row>
    <row r="285" spans="1:5">
      <c r="A285" s="17"/>
      <c r="D285" s="2" t="str">
        <f>IF(C285="","",IFERROR(INDEX('Purchase Tracker'!$J$4:$J$300,MATCH(C285,'Purchase Tracker'!$A$4:$A$300,0)),""))</f>
        <v/>
      </c>
      <c r="E285" s="2"/>
    </row>
    <row r="286" spans="1:5">
      <c r="A286" s="17"/>
      <c r="D286" s="2" t="str">
        <f>IF(C286="","",IFERROR(INDEX('Purchase Tracker'!$J$4:$J$300,MATCH(C286,'Purchase Tracker'!$A$4:$A$300,0)),""))</f>
        <v/>
      </c>
      <c r="E286" s="2"/>
    </row>
    <row r="287" spans="1:5">
      <c r="A287" s="17"/>
      <c r="D287" s="2" t="str">
        <f>IF(C287="","",IFERROR(INDEX('Purchase Tracker'!$J$4:$J$300,MATCH(C287,'Purchase Tracker'!$A$4:$A$300,0)),""))</f>
        <v/>
      </c>
      <c r="E287" s="2"/>
    </row>
    <row r="288" spans="1:5">
      <c r="A288" s="17"/>
      <c r="D288" s="2" t="str">
        <f>IF(C288="","",IFERROR(INDEX('Purchase Tracker'!$J$4:$J$300,MATCH(C288,'Purchase Tracker'!$A$4:$A$300,0)),""))</f>
        <v/>
      </c>
      <c r="E288" s="2"/>
    </row>
    <row r="289" spans="1:5">
      <c r="A289" s="17"/>
      <c r="D289" s="2" t="str">
        <f>IF(C289="","",IFERROR(INDEX('Purchase Tracker'!$J$4:$J$300,MATCH(C289,'Purchase Tracker'!$A$4:$A$300,0)),""))</f>
        <v/>
      </c>
      <c r="E289" s="2"/>
    </row>
    <row r="290" spans="1:5">
      <c r="A290" s="17"/>
      <c r="D290" s="2" t="str">
        <f>IF(C290="","",IFERROR(INDEX('Purchase Tracker'!$J$4:$J$300,MATCH(C290,'Purchase Tracker'!$A$4:$A$300,0)),""))</f>
        <v/>
      </c>
      <c r="E290" s="2"/>
    </row>
    <row r="291" spans="1:5">
      <c r="A291" s="17"/>
      <c r="D291" s="2" t="str">
        <f>IF(C291="","",IFERROR(INDEX('Purchase Tracker'!$J$4:$J$300,MATCH(C291,'Purchase Tracker'!$A$4:$A$300,0)),""))</f>
        <v/>
      </c>
      <c r="E291" s="2"/>
    </row>
    <row r="292" spans="1:5">
      <c r="A292" s="17"/>
      <c r="D292" s="2" t="str">
        <f>IF(C292="","",IFERROR(INDEX('Purchase Tracker'!$J$4:$J$300,MATCH(C292,'Purchase Tracker'!$A$4:$A$300,0)),""))</f>
        <v/>
      </c>
      <c r="E292" s="2"/>
    </row>
    <row r="293" spans="1:5">
      <c r="A293" s="17"/>
      <c r="D293" s="2" t="str">
        <f>IF(C293="","",IFERROR(INDEX('Purchase Tracker'!$J$4:$J$300,MATCH(C293,'Purchase Tracker'!$A$4:$A$300,0)),""))</f>
        <v/>
      </c>
      <c r="E293" s="2"/>
    </row>
    <row r="294" spans="1:5">
      <c r="A294" s="17"/>
      <c r="D294" s="2" t="str">
        <f>IF(C294="","",IFERROR(INDEX('Purchase Tracker'!$J$4:$J$300,MATCH(C294,'Purchase Tracker'!$A$4:$A$300,0)),""))</f>
        <v/>
      </c>
      <c r="E294" s="2"/>
    </row>
    <row r="295" spans="1:5">
      <c r="A295" s="17"/>
      <c r="D295" s="2" t="str">
        <f>IF(C295="","",IFERROR(INDEX('Purchase Tracker'!$J$4:$J$300,MATCH(C295,'Purchase Tracker'!$A$4:$A$300,0)),""))</f>
        <v/>
      </c>
      <c r="E295" s="2"/>
    </row>
    <row r="296" spans="1:5">
      <c r="A296" s="17"/>
      <c r="D296" s="2" t="str">
        <f>IF(C296="","",IFERROR(INDEX('Purchase Tracker'!$J$4:$J$300,MATCH(C296,'Purchase Tracker'!$A$4:$A$300,0)),""))</f>
        <v/>
      </c>
      <c r="E296" s="2"/>
    </row>
    <row r="297" spans="1:5">
      <c r="A297" s="17"/>
      <c r="D297" s="2" t="str">
        <f>IF(C297="","",IFERROR(INDEX('Purchase Tracker'!$J$4:$J$300,MATCH(C297,'Purchase Tracker'!$A$4:$A$300,0)),""))</f>
        <v/>
      </c>
      <c r="E297" s="2"/>
    </row>
    <row r="298" spans="1:5">
      <c r="A298" s="17"/>
      <c r="D298" s="2" t="str">
        <f>IF(C298="","",IFERROR(INDEX('Purchase Tracker'!$J$4:$J$300,MATCH(C298,'Purchase Tracker'!$A$4:$A$300,0)),""))</f>
        <v/>
      </c>
      <c r="E298" s="2"/>
    </row>
    <row r="299" spans="1:5">
      <c r="A299" s="17"/>
      <c r="D299" s="2" t="str">
        <f>IF(C299="","",IFERROR(INDEX('Purchase Tracker'!$J$4:$J$300,MATCH(C299,'Purchase Tracker'!$A$4:$A$300,0)),""))</f>
        <v/>
      </c>
      <c r="E299" s="2"/>
    </row>
    <row r="300" spans="1:5">
      <c r="A300" s="17"/>
      <c r="D300" s="2" t="str">
        <f>IF(C300="","",IFERROR(INDEX('Purchase Tracker'!$J$4:$J$300,MATCH(C300,'Purchase Tracker'!$A$4:$A$300,0)),""))</f>
        <v/>
      </c>
      <c r="E300" s="2"/>
    </row>
    <row r="301" spans="1:5">
      <c r="A301" s="17"/>
      <c r="D301" s="2" t="str">
        <f>IF(C301="","",IFERROR(INDEX('Purchase Tracker'!$J$4:$J$300,MATCH(C301,'Purchase Tracker'!$A$4:$A$300,0)),""))</f>
        <v/>
      </c>
      <c r="E301" s="2"/>
    </row>
    <row r="302" spans="1:5">
      <c r="A302" s="17"/>
      <c r="D302" s="2" t="str">
        <f>IF(C302="","",IFERROR(INDEX('Purchase Tracker'!$J$4:$J$300,MATCH(C302,'Purchase Tracker'!$A$4:$A$300,0)),""))</f>
        <v/>
      </c>
      <c r="E302" s="2"/>
    </row>
    <row r="303" spans="1:5">
      <c r="A303" s="17"/>
      <c r="D303" s="2" t="str">
        <f>IF(C303="","",IFERROR(INDEX('Purchase Tracker'!$J$4:$J$300,MATCH(C303,'Purchase Tracker'!$A$4:$A$300,0)),""))</f>
        <v/>
      </c>
      <c r="E303" s="2"/>
    </row>
    <row r="304" spans="1:5">
      <c r="A304" s="17"/>
      <c r="D304" s="2" t="str">
        <f>IF(C304="","",IFERROR(INDEX('Purchase Tracker'!$J$4:$J$300,MATCH(C304,'Purchase Tracker'!$A$4:$A$300,0)),""))</f>
        <v/>
      </c>
      <c r="E304" s="2"/>
    </row>
    <row r="305" spans="1:5">
      <c r="A305" s="17"/>
      <c r="D305" s="2" t="str">
        <f>IF(C305="","",IFERROR(INDEX('Purchase Tracker'!$J$4:$J$300,MATCH(C305,'Purchase Tracker'!$A$4:$A$300,0)),""))</f>
        <v/>
      </c>
      <c r="E305" s="2"/>
    </row>
    <row r="306" spans="1:5">
      <c r="A306" s="17"/>
      <c r="D306" s="2" t="str">
        <f>IF(C306="","",IFERROR(INDEX('Purchase Tracker'!$J$4:$J$300,MATCH(C306,'Purchase Tracker'!$A$4:$A$300,0)),""))</f>
        <v/>
      </c>
      <c r="E306" s="2"/>
    </row>
    <row r="307" spans="1:5">
      <c r="A307" s="17"/>
      <c r="D307" s="2" t="str">
        <f>IF(C307="","",IFERROR(INDEX('Purchase Tracker'!$J$4:$J$300,MATCH(C307,'Purchase Tracker'!$A$4:$A$300,0)),""))</f>
        <v/>
      </c>
      <c r="E307" s="2"/>
    </row>
    <row r="308" spans="1:5">
      <c r="A308" s="17"/>
      <c r="D308" s="2" t="str">
        <f>IF(C308="","",IFERROR(INDEX('Purchase Tracker'!$J$4:$J$300,MATCH(C308,'Purchase Tracker'!$A$4:$A$300,0)),""))</f>
        <v/>
      </c>
      <c r="E308" s="2"/>
    </row>
    <row r="309" spans="1:5">
      <c r="A309" s="17"/>
      <c r="D309" s="2" t="str">
        <f>IF(C309="","",IFERROR(INDEX('Purchase Tracker'!$J$4:$J$300,MATCH(C309,'Purchase Tracker'!$A$4:$A$300,0)),""))</f>
        <v/>
      </c>
      <c r="E309" s="2"/>
    </row>
    <row r="310" spans="1:5">
      <c r="A310" s="17"/>
      <c r="D310" s="2" t="str">
        <f>IF(C310="","",IFERROR(INDEX('Purchase Tracker'!$J$4:$J$300,MATCH(C310,'Purchase Tracker'!$A$4:$A$300,0)),""))</f>
        <v/>
      </c>
      <c r="E310" s="2"/>
    </row>
    <row r="311" spans="1:5">
      <c r="A311" s="17"/>
      <c r="D311" s="2" t="str">
        <f>IF(C311="","",IFERROR(INDEX('Purchase Tracker'!$J$4:$J$300,MATCH(C311,'Purchase Tracker'!$A$4:$A$300,0)),""))</f>
        <v/>
      </c>
      <c r="E311" s="2"/>
    </row>
    <row r="312" spans="1:5">
      <c r="A312" s="17"/>
      <c r="D312" s="2" t="str">
        <f>IF(C312="","",IFERROR(INDEX('Purchase Tracker'!$J$4:$J$300,MATCH(C312,'Purchase Tracker'!$A$4:$A$300,0)),""))</f>
        <v/>
      </c>
      <c r="E312" s="2"/>
    </row>
    <row r="313" spans="1:5">
      <c r="A313" s="17"/>
      <c r="D313" s="2" t="str">
        <f>IF(C313="","",IFERROR(INDEX('Purchase Tracker'!$J$4:$J$300,MATCH(C313,'Purchase Tracker'!$A$4:$A$300,0)),""))</f>
        <v/>
      </c>
      <c r="E313" s="2"/>
    </row>
    <row r="314" spans="1:5">
      <c r="A314" s="17"/>
      <c r="D314" s="2" t="str">
        <f>IF(C314="","",IFERROR(INDEX('Purchase Tracker'!$J$4:$J$300,MATCH(C314,'Purchase Tracker'!$A$4:$A$300,0)),""))</f>
        <v/>
      </c>
      <c r="E314" s="2"/>
    </row>
    <row r="315" spans="1:5">
      <c r="A315" s="17"/>
      <c r="D315" s="2" t="str">
        <f>IF(C315="","",IFERROR(INDEX('Purchase Tracker'!$J$4:$J$300,MATCH(C315,'Purchase Tracker'!$A$4:$A$300,0)),""))</f>
        <v/>
      </c>
      <c r="E315" s="2"/>
    </row>
    <row r="316" spans="1:5">
      <c r="A316" s="17"/>
      <c r="D316" s="2" t="str">
        <f>IF(C316="","",IFERROR(INDEX('Purchase Tracker'!$J$4:$J$300,MATCH(C316,'Purchase Tracker'!$A$4:$A$300,0)),""))</f>
        <v/>
      </c>
      <c r="E316" s="2"/>
    </row>
    <row r="317" spans="1:5">
      <c r="A317" s="17"/>
      <c r="D317" s="2" t="str">
        <f>IF(C317="","",IFERROR(INDEX('Purchase Tracker'!$J$4:$J$300,MATCH(C317,'Purchase Tracker'!$A$4:$A$300,0)),""))</f>
        <v/>
      </c>
      <c r="E317" s="2"/>
    </row>
    <row r="318" spans="1:5">
      <c r="A318" s="17"/>
      <c r="D318" s="2" t="str">
        <f>IF(C318="","",IFERROR(INDEX('Purchase Tracker'!$J$4:$J$300,MATCH(C318,'Purchase Tracker'!$A$4:$A$300,0)),""))</f>
        <v/>
      </c>
      <c r="E318" s="2"/>
    </row>
    <row r="319" spans="1:5">
      <c r="A319" s="17"/>
      <c r="D319" s="2" t="str">
        <f>IF(C319="","",IFERROR(INDEX('Purchase Tracker'!$J$4:$J$300,MATCH(C319,'Purchase Tracker'!$A$4:$A$300,0)),""))</f>
        <v/>
      </c>
      <c r="E319" s="2"/>
    </row>
    <row r="320" spans="1:5">
      <c r="A320" s="17"/>
      <c r="D320" s="2" t="str">
        <f>IF(C320="","",IFERROR(INDEX('Purchase Tracker'!$J$4:$J$300,MATCH(C320,'Purchase Tracker'!$A$4:$A$300,0)),""))</f>
        <v/>
      </c>
      <c r="E320" s="2"/>
    </row>
    <row r="321" spans="1:5">
      <c r="A321" s="17"/>
      <c r="D321" s="2" t="str">
        <f>IF(C321="","",IFERROR(INDEX('Purchase Tracker'!$J$4:$J$300,MATCH(C321,'Purchase Tracker'!$A$4:$A$300,0)),""))</f>
        <v/>
      </c>
      <c r="E321" s="2"/>
    </row>
    <row r="322" spans="1:5">
      <c r="A322" s="17"/>
      <c r="D322" s="2" t="str">
        <f>IF(C322="","",IFERROR(INDEX('Purchase Tracker'!$J$4:$J$300,MATCH(C322,'Purchase Tracker'!$A$4:$A$300,0)),""))</f>
        <v/>
      </c>
      <c r="E322" s="2"/>
    </row>
    <row r="323" spans="1:5">
      <c r="A323" s="17"/>
      <c r="D323" s="2" t="str">
        <f>IF(C323="","",IFERROR(INDEX('Purchase Tracker'!$J$4:$J$300,MATCH(C323,'Purchase Tracker'!$A$4:$A$300,0)),""))</f>
        <v/>
      </c>
      <c r="E323" s="2"/>
    </row>
    <row r="324" spans="1:5">
      <c r="A324" s="17"/>
      <c r="D324" s="2" t="str">
        <f>IF(C324="","",IFERROR(INDEX('Purchase Tracker'!$J$4:$J$300,MATCH(C324,'Purchase Tracker'!$A$4:$A$300,0)),""))</f>
        <v/>
      </c>
      <c r="E324" s="2"/>
    </row>
    <row r="325" spans="1:5">
      <c r="A325" s="17"/>
      <c r="D325" s="2" t="str">
        <f>IF(C325="","",IFERROR(INDEX('Purchase Tracker'!$J$4:$J$300,MATCH(C325,'Purchase Tracker'!$A$4:$A$300,0)),""))</f>
        <v/>
      </c>
      <c r="E325" s="2"/>
    </row>
    <row r="326" spans="1:5">
      <c r="A326" s="17"/>
      <c r="D326" s="2" t="str">
        <f>IF(C326="","",IFERROR(INDEX('Purchase Tracker'!$J$4:$J$300,MATCH(C326,'Purchase Tracker'!$A$4:$A$300,0)),""))</f>
        <v/>
      </c>
      <c r="E326" s="2"/>
    </row>
    <row r="327" spans="1:5">
      <c r="A327" s="17"/>
      <c r="D327" s="2" t="str">
        <f>IF(C327="","",IFERROR(INDEX('Purchase Tracker'!$J$4:$J$300,MATCH(C327,'Purchase Tracker'!$A$4:$A$300,0)),""))</f>
        <v/>
      </c>
      <c r="E327" s="2"/>
    </row>
    <row r="328" spans="1:5">
      <c r="A328" s="17"/>
      <c r="D328" s="2" t="str">
        <f>IF(C328="","",IFERROR(INDEX('Purchase Tracker'!$J$4:$J$300,MATCH(C328,'Purchase Tracker'!$A$4:$A$300,0)),""))</f>
        <v/>
      </c>
      <c r="E328" s="2"/>
    </row>
    <row r="329" spans="1:5">
      <c r="A329" s="17"/>
      <c r="D329" s="2" t="str">
        <f>IF(C329="","",IFERROR(INDEX('Purchase Tracker'!$J$4:$J$300,MATCH(C329,'Purchase Tracker'!$A$4:$A$300,0)),""))</f>
        <v/>
      </c>
      <c r="E329" s="2"/>
    </row>
    <row r="330" spans="1:5">
      <c r="A330" s="17"/>
      <c r="D330" s="2" t="str">
        <f>IF(C330="","",IFERROR(INDEX('Purchase Tracker'!$J$4:$J$300,MATCH(C330,'Purchase Tracker'!$A$4:$A$300,0)),""))</f>
        <v/>
      </c>
      <c r="E330" s="2"/>
    </row>
    <row r="331" spans="1:5">
      <c r="A331" s="17"/>
      <c r="D331" s="2" t="str">
        <f>IF(C331="","",IFERROR(INDEX('Purchase Tracker'!$J$4:$J$300,MATCH(C331,'Purchase Tracker'!$A$4:$A$300,0)),""))</f>
        <v/>
      </c>
      <c r="E331" s="2"/>
    </row>
    <row r="332" spans="1:5">
      <c r="A332" s="17"/>
      <c r="D332" s="2" t="str">
        <f>IF(C332="","",IFERROR(INDEX('Purchase Tracker'!$J$4:$J$300,MATCH(C332,'Purchase Tracker'!$A$4:$A$300,0)),""))</f>
        <v/>
      </c>
      <c r="E332" s="2"/>
    </row>
    <row r="333" spans="1:5">
      <c r="A333" s="17"/>
      <c r="D333" s="2" t="str">
        <f>IF(C333="","",IFERROR(INDEX('Purchase Tracker'!$J$4:$J$300,MATCH(C333,'Purchase Tracker'!$A$4:$A$300,0)),""))</f>
        <v/>
      </c>
      <c r="E333" s="2"/>
    </row>
    <row r="334" spans="1:5">
      <c r="A334" s="17"/>
      <c r="D334" s="2" t="str">
        <f>IF(C334="","",IFERROR(INDEX('Purchase Tracker'!$J$4:$J$300,MATCH(C334,'Purchase Tracker'!$A$4:$A$300,0)),""))</f>
        <v/>
      </c>
      <c r="E334" s="2"/>
    </row>
    <row r="335" spans="1:5">
      <c r="A335" s="17"/>
      <c r="D335" s="2" t="str">
        <f>IF(C335="","",IFERROR(INDEX('Purchase Tracker'!$J$4:$J$300,MATCH(C335,'Purchase Tracker'!$A$4:$A$300,0)),""))</f>
        <v/>
      </c>
      <c r="E335" s="2"/>
    </row>
    <row r="336" spans="1:5">
      <c r="A336" s="17"/>
      <c r="D336" s="2" t="str">
        <f>IF(C336="","",IFERROR(INDEX('Purchase Tracker'!$J$4:$J$300,MATCH(C336,'Purchase Tracker'!$A$4:$A$300,0)),""))</f>
        <v/>
      </c>
      <c r="E336" s="2"/>
    </row>
    <row r="337" spans="1:5">
      <c r="A337" s="17"/>
      <c r="D337" s="2" t="str">
        <f>IF(C337="","",IFERROR(INDEX('Purchase Tracker'!$J$4:$J$300,MATCH(C337,'Purchase Tracker'!$A$4:$A$300,0)),""))</f>
        <v/>
      </c>
      <c r="E337" s="2"/>
    </row>
    <row r="338" spans="1:5">
      <c r="A338" s="17"/>
      <c r="D338" s="2" t="str">
        <f>IF(C338="","",IFERROR(INDEX('Purchase Tracker'!$J$4:$J$300,MATCH(C338,'Purchase Tracker'!$A$4:$A$300,0)),""))</f>
        <v/>
      </c>
      <c r="E338" s="2"/>
    </row>
    <row r="339" spans="1:5">
      <c r="A339" s="17"/>
      <c r="D339" s="2" t="str">
        <f>IF(C339="","",IFERROR(INDEX('Purchase Tracker'!$J$4:$J$300,MATCH(C339,'Purchase Tracker'!$A$4:$A$300,0)),""))</f>
        <v/>
      </c>
      <c r="E339" s="2"/>
    </row>
    <row r="340" spans="1:5">
      <c r="A340" s="17"/>
      <c r="D340" s="2" t="str">
        <f>IF(C340="","",IFERROR(INDEX('Purchase Tracker'!$J$4:$J$300,MATCH(C340,'Purchase Tracker'!$A$4:$A$300,0)),""))</f>
        <v/>
      </c>
      <c r="E340" s="2"/>
    </row>
    <row r="341" spans="1:5">
      <c r="A341" s="17"/>
      <c r="D341" s="2" t="str">
        <f>IF(C341="","",IFERROR(INDEX('Purchase Tracker'!$J$4:$J$300,MATCH(C341,'Purchase Tracker'!$A$4:$A$300,0)),""))</f>
        <v/>
      </c>
      <c r="E341" s="2"/>
    </row>
    <row r="342" spans="1:5">
      <c r="A342" s="17"/>
      <c r="D342" s="2" t="str">
        <f>IF(C342="","",IFERROR(INDEX('Purchase Tracker'!$J$4:$J$300,MATCH(C342,'Purchase Tracker'!$A$4:$A$300,0)),""))</f>
        <v/>
      </c>
      <c r="E342" s="2"/>
    </row>
    <row r="343" spans="1:5">
      <c r="A343" s="17"/>
      <c r="D343" s="2" t="str">
        <f>IF(C343="","",IFERROR(INDEX('Purchase Tracker'!$J$4:$J$300,MATCH(C343,'Purchase Tracker'!$A$4:$A$300,0)),""))</f>
        <v/>
      </c>
      <c r="E343" s="2"/>
    </row>
    <row r="344" spans="1:5">
      <c r="A344" s="17"/>
      <c r="D344" s="2" t="str">
        <f>IF(C344="","",IFERROR(INDEX('Purchase Tracker'!$J$4:$J$300,MATCH(C344,'Purchase Tracker'!$A$4:$A$300,0)),""))</f>
        <v/>
      </c>
      <c r="E344" s="2"/>
    </row>
    <row r="345" spans="1:5">
      <c r="A345" s="17"/>
      <c r="D345" s="2" t="str">
        <f>IF(C345="","",IFERROR(INDEX('Purchase Tracker'!$J$4:$J$300,MATCH(C345,'Purchase Tracker'!$A$4:$A$300,0)),""))</f>
        <v/>
      </c>
      <c r="E345" s="2"/>
    </row>
    <row r="346" spans="1:5">
      <c r="A346" s="17"/>
      <c r="D346" s="2" t="str">
        <f>IF(C346="","",IFERROR(INDEX('Purchase Tracker'!$J$4:$J$300,MATCH(C346,'Purchase Tracker'!$A$4:$A$300,0)),""))</f>
        <v/>
      </c>
      <c r="E346" s="2"/>
    </row>
    <row r="347" spans="1:5">
      <c r="A347" s="17"/>
      <c r="D347" s="2" t="str">
        <f>IF(C347="","",IFERROR(INDEX('Purchase Tracker'!$J$4:$J$300,MATCH(C347,'Purchase Tracker'!$A$4:$A$300,0)),""))</f>
        <v/>
      </c>
      <c r="E347" s="2"/>
    </row>
    <row r="348" spans="1:5">
      <c r="A348" s="17"/>
      <c r="D348" s="2" t="str">
        <f>IF(C348="","",IFERROR(INDEX('Purchase Tracker'!$J$4:$J$300,MATCH(C348,'Purchase Tracker'!$A$4:$A$300,0)),""))</f>
        <v/>
      </c>
      <c r="E348" s="2"/>
    </row>
    <row r="349" spans="1:5">
      <c r="A349" s="17"/>
      <c r="D349" s="2" t="str">
        <f>IF(C349="","",IFERROR(INDEX('Purchase Tracker'!$J$4:$J$300,MATCH(C349,'Purchase Tracker'!$A$4:$A$300,0)),""))</f>
        <v/>
      </c>
      <c r="E349" s="2"/>
    </row>
    <row r="350" spans="1:5">
      <c r="A350" s="17"/>
      <c r="D350" s="2" t="str">
        <f>IF(C350="","",IFERROR(INDEX('Purchase Tracker'!$J$4:$J$300,MATCH(C350,'Purchase Tracker'!$A$4:$A$300,0)),""))</f>
        <v/>
      </c>
      <c r="E350" s="2"/>
    </row>
    <row r="351" spans="1:5">
      <c r="A351" s="17"/>
      <c r="D351" s="2" t="str">
        <f>IF(C351="","",IFERROR(INDEX('Purchase Tracker'!$J$4:$J$300,MATCH(C351,'Purchase Tracker'!$A$4:$A$300,0)),""))</f>
        <v/>
      </c>
      <c r="E351" s="2"/>
    </row>
    <row r="352" spans="1:5">
      <c r="A352" s="17"/>
      <c r="D352" s="2" t="str">
        <f>IF(C352="","",IFERROR(INDEX('Purchase Tracker'!$J$4:$J$300,MATCH(C352,'Purchase Tracker'!$A$4:$A$300,0)),""))</f>
        <v/>
      </c>
      <c r="E352" s="2"/>
    </row>
    <row r="353" spans="1:5">
      <c r="A353" s="17"/>
      <c r="D353" s="2" t="str">
        <f>IF(C353="","",IFERROR(INDEX('Purchase Tracker'!$J$4:$J$300,MATCH(C353,'Purchase Tracker'!$A$4:$A$300,0)),""))</f>
        <v/>
      </c>
      <c r="E353" s="2"/>
    </row>
    <row r="354" spans="1:5">
      <c r="A354" s="17"/>
      <c r="D354" s="2" t="str">
        <f>IF(C354="","",IFERROR(INDEX('Purchase Tracker'!$J$4:$J$300,MATCH(C354,'Purchase Tracker'!$A$4:$A$300,0)),""))</f>
        <v/>
      </c>
      <c r="E354" s="2"/>
    </row>
    <row r="355" spans="1:5">
      <c r="A355" s="17"/>
      <c r="D355" s="2" t="str">
        <f>IF(C355="","",IFERROR(INDEX('Purchase Tracker'!$J$4:$J$300,MATCH(C355,'Purchase Tracker'!$A$4:$A$300,0)),""))</f>
        <v/>
      </c>
      <c r="E355" s="2"/>
    </row>
    <row r="356" spans="1:5">
      <c r="A356" s="17"/>
      <c r="D356" s="2" t="str">
        <f>IF(C356="","",IFERROR(INDEX('Purchase Tracker'!$J$4:$J$300,MATCH(C356,'Purchase Tracker'!$A$4:$A$300,0)),""))</f>
        <v/>
      </c>
      <c r="E356" s="2"/>
    </row>
    <row r="357" spans="1:5">
      <c r="A357" s="17"/>
      <c r="D357" s="2" t="str">
        <f>IF(C357="","",IFERROR(INDEX('Purchase Tracker'!$J$4:$J$300,MATCH(C357,'Purchase Tracker'!$A$4:$A$300,0)),""))</f>
        <v/>
      </c>
      <c r="E357" s="2"/>
    </row>
    <row r="358" spans="1:5">
      <c r="A358" s="17"/>
      <c r="D358" s="2" t="str">
        <f>IF(C358="","",IFERROR(INDEX('Purchase Tracker'!$J$4:$J$300,MATCH(C358,'Purchase Tracker'!$A$4:$A$300,0)),""))</f>
        <v/>
      </c>
      <c r="E358" s="2"/>
    </row>
    <row r="359" spans="1:5">
      <c r="A359" s="17"/>
      <c r="D359" s="2" t="str">
        <f>IF(C359="","",IFERROR(INDEX('Purchase Tracker'!$J$4:$J$300,MATCH(C359,'Purchase Tracker'!$A$4:$A$300,0)),""))</f>
        <v/>
      </c>
      <c r="E359" s="2"/>
    </row>
    <row r="360" spans="1:5">
      <c r="A360" s="17"/>
      <c r="D360" s="2" t="str">
        <f>IF(C360="","",IFERROR(INDEX('Purchase Tracker'!$J$4:$J$300,MATCH(C360,'Purchase Tracker'!$A$4:$A$300,0)),""))</f>
        <v/>
      </c>
      <c r="E360" s="2"/>
    </row>
    <row r="361" spans="1:5">
      <c r="A361" s="17"/>
      <c r="D361" s="2" t="str">
        <f>IF(C361="","",IFERROR(INDEX('Purchase Tracker'!$J$4:$J$300,MATCH(C361,'Purchase Tracker'!$A$4:$A$300,0)),""))</f>
        <v/>
      </c>
      <c r="E361" s="2"/>
    </row>
    <row r="362" spans="1:5">
      <c r="A362" s="17"/>
      <c r="D362" s="2" t="str">
        <f>IF(C362="","",IFERROR(INDEX('Purchase Tracker'!$J$4:$J$300,MATCH(C362,'Purchase Tracker'!$A$4:$A$300,0)),""))</f>
        <v/>
      </c>
      <c r="E362" s="2"/>
    </row>
    <row r="363" spans="1:5">
      <c r="A363" s="17"/>
      <c r="D363" s="2" t="str">
        <f>IF(C363="","",IFERROR(INDEX('Purchase Tracker'!$J$4:$J$300,MATCH(C363,'Purchase Tracker'!$A$4:$A$300,0)),""))</f>
        <v/>
      </c>
      <c r="E363" s="2"/>
    </row>
    <row r="364" spans="1:5">
      <c r="A364" s="17"/>
      <c r="D364" s="2" t="str">
        <f>IF(C364="","",IFERROR(INDEX('Purchase Tracker'!$J$4:$J$300,MATCH(C364,'Purchase Tracker'!$A$4:$A$300,0)),""))</f>
        <v/>
      </c>
      <c r="E364" s="2"/>
    </row>
    <row r="365" spans="1:5">
      <c r="A365" s="17"/>
      <c r="D365" s="2" t="str">
        <f>IF(C365="","",IFERROR(INDEX('Purchase Tracker'!$J$4:$J$300,MATCH(C365,'Purchase Tracker'!$A$4:$A$300,0)),""))</f>
        <v/>
      </c>
      <c r="E365" s="2"/>
    </row>
    <row r="366" spans="1:5">
      <c r="A366" s="17"/>
      <c r="D366" s="2" t="str">
        <f>IF(C366="","",IFERROR(INDEX('Purchase Tracker'!$J$4:$J$300,MATCH(C366,'Purchase Tracker'!$A$4:$A$300,0)),""))</f>
        <v/>
      </c>
      <c r="E366" s="2"/>
    </row>
    <row r="367" spans="1:5">
      <c r="A367" s="17"/>
      <c r="D367" s="2" t="str">
        <f>IF(C367="","",IFERROR(INDEX('Purchase Tracker'!$J$4:$J$300,MATCH(C367,'Purchase Tracker'!$A$4:$A$300,0)),""))</f>
        <v/>
      </c>
      <c r="E367" s="2"/>
    </row>
    <row r="368" spans="1:5">
      <c r="A368" s="17"/>
      <c r="D368" s="2" t="str">
        <f>IF(C368="","",IFERROR(INDEX('Purchase Tracker'!$J$4:$J$300,MATCH(C368,'Purchase Tracker'!$A$4:$A$300,0)),""))</f>
        <v/>
      </c>
      <c r="E368" s="2"/>
    </row>
    <row r="369" spans="1:5">
      <c r="A369" s="17"/>
      <c r="D369" s="2" t="str">
        <f>IF(C369="","",IFERROR(INDEX('Purchase Tracker'!$J$4:$J$300,MATCH(C369,'Purchase Tracker'!$A$4:$A$300,0)),""))</f>
        <v/>
      </c>
      <c r="E369" s="2"/>
    </row>
    <row r="370" spans="1:5">
      <c r="A370" s="17"/>
      <c r="D370" s="2" t="str">
        <f>IF(C370="","",IFERROR(INDEX('Purchase Tracker'!$J$4:$J$300,MATCH(C370,'Purchase Tracker'!$A$4:$A$300,0)),""))</f>
        <v/>
      </c>
      <c r="E370" s="2"/>
    </row>
    <row r="371" spans="1:5">
      <c r="A371" s="17"/>
      <c r="D371" s="2" t="str">
        <f>IF(C371="","",IFERROR(INDEX('Purchase Tracker'!$J$4:$J$300,MATCH(C371,'Purchase Tracker'!$A$4:$A$300,0)),""))</f>
        <v/>
      </c>
      <c r="E371" s="2"/>
    </row>
    <row r="372" spans="1:5">
      <c r="A372" s="17"/>
      <c r="D372" s="2" t="str">
        <f>IF(C372="","",IFERROR(INDEX('Purchase Tracker'!$J$4:$J$300,MATCH(C372,'Purchase Tracker'!$A$4:$A$300,0)),""))</f>
        <v/>
      </c>
      <c r="E372" s="2"/>
    </row>
    <row r="373" spans="1:5">
      <c r="A373" s="17"/>
      <c r="D373" s="2" t="str">
        <f>IF(C373="","",IFERROR(INDEX('Purchase Tracker'!$J$4:$J$300,MATCH(C373,'Purchase Tracker'!$A$4:$A$300,0)),""))</f>
        <v/>
      </c>
      <c r="E373" s="2"/>
    </row>
    <row r="374" spans="1:5">
      <c r="A374" s="17"/>
      <c r="D374" s="2" t="str">
        <f>IF(C374="","",IFERROR(INDEX('Purchase Tracker'!$J$4:$J$300,MATCH(C374,'Purchase Tracker'!$A$4:$A$300,0)),""))</f>
        <v/>
      </c>
      <c r="E374" s="2"/>
    </row>
    <row r="375" spans="1:5">
      <c r="A375" s="17"/>
      <c r="D375" s="2" t="str">
        <f>IF(C375="","",IFERROR(INDEX('Purchase Tracker'!$J$4:$J$300,MATCH(C375,'Purchase Tracker'!$A$4:$A$300,0)),""))</f>
        <v/>
      </c>
      <c r="E375" s="2"/>
    </row>
    <row r="376" spans="1:5">
      <c r="A376" s="17"/>
      <c r="D376" s="2" t="str">
        <f>IF(C376="","",IFERROR(INDEX('Purchase Tracker'!$J$4:$J$300,MATCH(C376,'Purchase Tracker'!$A$4:$A$300,0)),""))</f>
        <v/>
      </c>
      <c r="E376" s="2"/>
    </row>
    <row r="377" spans="1:5">
      <c r="A377" s="17"/>
      <c r="D377" s="2" t="str">
        <f>IF(C377="","",IFERROR(INDEX('Purchase Tracker'!$J$4:$J$300,MATCH(C377,'Purchase Tracker'!$A$4:$A$300,0)),""))</f>
        <v/>
      </c>
      <c r="E377" s="2"/>
    </row>
    <row r="378" spans="1:5">
      <c r="A378" s="17"/>
      <c r="D378" s="2" t="str">
        <f>IF(C378="","",IFERROR(INDEX('Purchase Tracker'!$J$4:$J$300,MATCH(C378,'Purchase Tracker'!$A$4:$A$300,0)),""))</f>
        <v/>
      </c>
      <c r="E378" s="2"/>
    </row>
    <row r="379" spans="1:5">
      <c r="A379" s="17"/>
      <c r="D379" s="2" t="str">
        <f>IF(C379="","",IFERROR(INDEX('Purchase Tracker'!$J$4:$J$300,MATCH(C379,'Purchase Tracker'!$A$4:$A$300,0)),""))</f>
        <v/>
      </c>
      <c r="E379" s="2"/>
    </row>
    <row r="380" spans="1:5">
      <c r="A380" s="17"/>
      <c r="D380" s="2" t="str">
        <f>IF(C380="","",IFERROR(INDEX('Purchase Tracker'!$J$4:$J$300,MATCH(C380,'Purchase Tracker'!$A$4:$A$300,0)),""))</f>
        <v/>
      </c>
      <c r="E380" s="2"/>
    </row>
    <row r="381" spans="1:5">
      <c r="A381" s="17"/>
      <c r="D381" s="2" t="str">
        <f>IF(C381="","",IFERROR(INDEX('Purchase Tracker'!$J$4:$J$300,MATCH(C381,'Purchase Tracker'!$A$4:$A$300,0)),""))</f>
        <v/>
      </c>
      <c r="E381" s="2"/>
    </row>
    <row r="382" spans="1:5">
      <c r="A382" s="17"/>
      <c r="D382" s="2" t="str">
        <f>IF(C382="","",IFERROR(INDEX('Purchase Tracker'!$J$4:$J$300,MATCH(C382,'Purchase Tracker'!$A$4:$A$300,0)),""))</f>
        <v/>
      </c>
      <c r="E382" s="2"/>
    </row>
    <row r="383" spans="1:5">
      <c r="A383" s="17"/>
      <c r="D383" s="2" t="str">
        <f>IF(C383="","",IFERROR(INDEX('Purchase Tracker'!$J$4:$J$300,MATCH(C383,'Purchase Tracker'!$A$4:$A$300,0)),""))</f>
        <v/>
      </c>
      <c r="E383" s="2"/>
    </row>
    <row r="384" spans="1:5">
      <c r="A384" s="17"/>
      <c r="D384" s="2" t="str">
        <f>IF(C384="","",IFERROR(INDEX('Purchase Tracker'!$J$4:$J$300,MATCH(C384,'Purchase Tracker'!$A$4:$A$300,0)),""))</f>
        <v/>
      </c>
      <c r="E384" s="2"/>
    </row>
    <row r="385" spans="1:5">
      <c r="A385" s="17"/>
      <c r="D385" s="2" t="str">
        <f>IF(C385="","",IFERROR(INDEX('Purchase Tracker'!$J$4:$J$300,MATCH(C385,'Purchase Tracker'!$A$4:$A$300,0)),""))</f>
        <v/>
      </c>
      <c r="E385" s="2"/>
    </row>
    <row r="386" spans="1:5">
      <c r="A386" s="17"/>
      <c r="D386" s="2" t="str">
        <f>IF(C386="","",IFERROR(INDEX('Purchase Tracker'!$J$4:$J$300,MATCH(C386,'Purchase Tracker'!$A$4:$A$300,0)),""))</f>
        <v/>
      </c>
      <c r="E386" s="2"/>
    </row>
    <row r="387" spans="1:5">
      <c r="A387" s="17"/>
      <c r="D387" s="2" t="str">
        <f>IF(C387="","",IFERROR(INDEX('Purchase Tracker'!$J$4:$J$300,MATCH(C387,'Purchase Tracker'!$A$4:$A$300,0)),""))</f>
        <v/>
      </c>
      <c r="E387" s="2"/>
    </row>
    <row r="388" spans="1:5">
      <c r="A388" s="17"/>
      <c r="D388" s="2" t="str">
        <f>IF(C388="","",IFERROR(INDEX('Purchase Tracker'!$J$4:$J$300,MATCH(C388,'Purchase Tracker'!$A$4:$A$300,0)),""))</f>
        <v/>
      </c>
      <c r="E388" s="2"/>
    </row>
    <row r="389" spans="1:5">
      <c r="A389" s="17"/>
      <c r="D389" s="2" t="str">
        <f>IF(C389="","",IFERROR(INDEX('Purchase Tracker'!$J$4:$J$300,MATCH(C389,'Purchase Tracker'!$A$4:$A$300,0)),""))</f>
        <v/>
      </c>
      <c r="E389" s="2"/>
    </row>
    <row r="390" spans="1:5">
      <c r="A390" s="17"/>
      <c r="D390" s="2" t="str">
        <f>IF(C390="","",IFERROR(INDEX('Purchase Tracker'!$J$4:$J$300,MATCH(C390,'Purchase Tracker'!$A$4:$A$300,0)),""))</f>
        <v/>
      </c>
      <c r="E390" s="2"/>
    </row>
    <row r="391" spans="1:5">
      <c r="A391" s="17"/>
      <c r="D391" s="2" t="str">
        <f>IF(C391="","",IFERROR(INDEX('Purchase Tracker'!$J$4:$J$300,MATCH(C391,'Purchase Tracker'!$A$4:$A$300,0)),""))</f>
        <v/>
      </c>
      <c r="E391" s="2"/>
    </row>
    <row r="392" spans="1:5">
      <c r="A392" s="17"/>
      <c r="D392" s="2" t="str">
        <f>IF(C392="","",IFERROR(INDEX('Purchase Tracker'!$J$4:$J$300,MATCH(C392,'Purchase Tracker'!$A$4:$A$300,0)),""))</f>
        <v/>
      </c>
      <c r="E392" s="2"/>
    </row>
    <row r="393" spans="1:5">
      <c r="A393" s="17"/>
      <c r="D393" s="2" t="str">
        <f>IF(C393="","",IFERROR(INDEX('Purchase Tracker'!$J$4:$J$300,MATCH(C393,'Purchase Tracker'!$A$4:$A$300,0)),""))</f>
        <v/>
      </c>
      <c r="E393" s="2"/>
    </row>
    <row r="394" spans="1:5">
      <c r="A394" s="17"/>
      <c r="D394" s="2" t="str">
        <f>IF(C394="","",IFERROR(INDEX('Purchase Tracker'!$J$4:$J$300,MATCH(C394,'Purchase Tracker'!$A$4:$A$300,0)),""))</f>
        <v/>
      </c>
      <c r="E394" s="2"/>
    </row>
    <row r="395" spans="1:5">
      <c r="A395" s="17"/>
      <c r="D395" s="2" t="str">
        <f>IF(C395="","",IFERROR(INDEX('Purchase Tracker'!$J$4:$J$300,MATCH(C395,'Purchase Tracker'!$A$4:$A$300,0)),""))</f>
        <v/>
      </c>
      <c r="E395" s="2"/>
    </row>
    <row r="396" spans="1:5">
      <c r="A396" s="17"/>
      <c r="D396" s="2" t="str">
        <f>IF(C396="","",IFERROR(INDEX('Purchase Tracker'!$J$4:$J$300,MATCH(C396,'Purchase Tracker'!$A$4:$A$300,0)),""))</f>
        <v/>
      </c>
      <c r="E396" s="2"/>
    </row>
    <row r="397" spans="1:5">
      <c r="A397" s="17"/>
      <c r="D397" s="2" t="str">
        <f>IF(C397="","",IFERROR(INDEX('Purchase Tracker'!$J$4:$J$300,MATCH(C397,'Purchase Tracker'!$A$4:$A$300,0)),""))</f>
        <v/>
      </c>
      <c r="E397" s="2"/>
    </row>
    <row r="398" spans="1:5">
      <c r="A398" s="17"/>
      <c r="D398" s="2" t="str">
        <f>IF(C398="","",IFERROR(INDEX('Purchase Tracker'!$J$4:$J$300,MATCH(C398,'Purchase Tracker'!$A$4:$A$300,0)),""))</f>
        <v/>
      </c>
      <c r="E398" s="2"/>
    </row>
    <row r="399" spans="1:5">
      <c r="A399" s="17"/>
      <c r="D399" s="2" t="str">
        <f>IF(C399="","",IFERROR(INDEX('Purchase Tracker'!$J$4:$J$300,MATCH(C399,'Purchase Tracker'!$A$4:$A$300,0)),""))</f>
        <v/>
      </c>
      <c r="E399" s="2"/>
    </row>
    <row r="400" spans="1:5">
      <c r="A400" s="17"/>
      <c r="D400" s="2" t="str">
        <f>IF(C400="","",IFERROR(INDEX('Purchase Tracker'!$J$4:$J$300,MATCH(C400,'Purchase Tracker'!$A$4:$A$300,0)),""))</f>
        <v/>
      </c>
      <c r="E400" s="2"/>
    </row>
    <row r="401" spans="1:5">
      <c r="A401" s="17"/>
      <c r="D401" s="2" t="str">
        <f>IF(C401="","",IFERROR(INDEX('Purchase Tracker'!$J$4:$J$300,MATCH(C401,'Purchase Tracker'!$A$4:$A$300,0)),""))</f>
        <v/>
      </c>
      <c r="E401" s="2"/>
    </row>
    <row r="402" spans="1:5">
      <c r="A402" s="17"/>
      <c r="D402" s="2" t="str">
        <f>IF(C402="","",IFERROR(INDEX('Purchase Tracker'!$J$4:$J$300,MATCH(C402,'Purchase Tracker'!$A$4:$A$300,0)),""))</f>
        <v/>
      </c>
      <c r="E402" s="2"/>
    </row>
    <row r="403" spans="1:5">
      <c r="A403" s="17"/>
      <c r="D403" s="2" t="str">
        <f>IF(C403="","",IFERROR(INDEX('Purchase Tracker'!$J$4:$J$300,MATCH(C403,'Purchase Tracker'!$A$4:$A$300,0)),""))</f>
        <v/>
      </c>
      <c r="E403" s="2"/>
    </row>
    <row r="404" spans="1:5">
      <c r="A404" s="17"/>
      <c r="D404" s="2" t="str">
        <f>IF(C404="","",IFERROR(INDEX('Purchase Tracker'!$J$4:$J$300,MATCH(C404,'Purchase Tracker'!$A$4:$A$300,0)),""))</f>
        <v/>
      </c>
      <c r="E404" s="2"/>
    </row>
    <row r="405" spans="1:5">
      <c r="A405" s="17"/>
      <c r="D405" s="2" t="str">
        <f>IF(C405="","",IFERROR(INDEX('Purchase Tracker'!$J$4:$J$300,MATCH(C405,'Purchase Tracker'!$A$4:$A$300,0)),""))</f>
        <v/>
      </c>
      <c r="E405" s="2"/>
    </row>
    <row r="406" spans="1:5">
      <c r="A406" s="17"/>
      <c r="D406" s="2" t="str">
        <f>IF(C406="","",IFERROR(INDEX('Purchase Tracker'!$J$4:$J$300,MATCH(C406,'Purchase Tracker'!$A$4:$A$300,0)),""))</f>
        <v/>
      </c>
      <c r="E406" s="2"/>
    </row>
    <row r="407" spans="1:5">
      <c r="A407" s="17"/>
      <c r="D407" s="2" t="str">
        <f>IF(C407="","",IFERROR(INDEX('Purchase Tracker'!$J$4:$J$300,MATCH(C407,'Purchase Tracker'!$A$4:$A$300,0)),""))</f>
        <v/>
      </c>
      <c r="E407" s="2"/>
    </row>
    <row r="408" spans="1:5">
      <c r="A408" s="17"/>
      <c r="D408" s="2" t="str">
        <f>IF(C408="","",IFERROR(INDEX('Purchase Tracker'!$J$4:$J$300,MATCH(C408,'Purchase Tracker'!$A$4:$A$300,0)),""))</f>
        <v/>
      </c>
      <c r="E408" s="2"/>
    </row>
    <row r="409" spans="1:5">
      <c r="A409" s="17"/>
      <c r="D409" s="2" t="str">
        <f>IF(C409="","",IFERROR(INDEX('Purchase Tracker'!$J$4:$J$300,MATCH(C409,'Purchase Tracker'!$A$4:$A$300,0)),""))</f>
        <v/>
      </c>
      <c r="E409" s="2"/>
    </row>
    <row r="410" spans="1:5">
      <c r="A410" s="17"/>
      <c r="D410" s="2" t="str">
        <f>IF(C410="","",IFERROR(INDEX('Purchase Tracker'!$J$4:$J$300,MATCH(C410,'Purchase Tracker'!$A$4:$A$300,0)),""))</f>
        <v/>
      </c>
      <c r="E410" s="2"/>
    </row>
    <row r="411" spans="1:5">
      <c r="A411" s="17"/>
      <c r="D411" s="2" t="str">
        <f>IF(C411="","",IFERROR(INDEX('Purchase Tracker'!$J$4:$J$300,MATCH(C411,'Purchase Tracker'!$A$4:$A$300,0)),""))</f>
        <v/>
      </c>
      <c r="E411" s="2"/>
    </row>
    <row r="412" spans="1:5">
      <c r="A412" s="17"/>
      <c r="D412" s="2" t="str">
        <f>IF(C412="","",IFERROR(INDEX('Purchase Tracker'!$J$4:$J$300,MATCH(C412,'Purchase Tracker'!$A$4:$A$300,0)),""))</f>
        <v/>
      </c>
      <c r="E412" s="2"/>
    </row>
    <row r="413" spans="1:5">
      <c r="A413" s="17"/>
      <c r="D413" s="2" t="str">
        <f>IF(C413="","",IFERROR(INDEX('Purchase Tracker'!$J$4:$J$300,MATCH(C413,'Purchase Tracker'!$A$4:$A$300,0)),""))</f>
        <v/>
      </c>
      <c r="E413" s="2"/>
    </row>
    <row r="414" spans="1:5">
      <c r="A414" s="17"/>
      <c r="D414" s="2" t="str">
        <f>IF(C414="","",IFERROR(INDEX('Purchase Tracker'!$J$4:$J$300,MATCH(C414,'Purchase Tracker'!$A$4:$A$300,0)),""))</f>
        <v/>
      </c>
      <c r="E414" s="2"/>
    </row>
    <row r="415" spans="1:5">
      <c r="A415" s="17"/>
      <c r="D415" s="2" t="str">
        <f>IF(C415="","",IFERROR(INDEX('Purchase Tracker'!$J$4:$J$300,MATCH(C415,'Purchase Tracker'!$A$4:$A$300,0)),""))</f>
        <v/>
      </c>
      <c r="E415" s="2"/>
    </row>
    <row r="416" spans="1:5">
      <c r="A416" s="17"/>
      <c r="D416" s="2" t="str">
        <f>IF(C416="","",IFERROR(INDEX('Purchase Tracker'!$J$4:$J$300,MATCH(C416,'Purchase Tracker'!$A$4:$A$300,0)),""))</f>
        <v/>
      </c>
      <c r="E416" s="2"/>
    </row>
    <row r="417" spans="1:5">
      <c r="A417" s="17"/>
      <c r="D417" s="2" t="str">
        <f>IF(C417="","",IFERROR(INDEX('Purchase Tracker'!$J$4:$J$300,MATCH(C417,'Purchase Tracker'!$A$4:$A$300,0)),""))</f>
        <v/>
      </c>
      <c r="E417" s="2"/>
    </row>
    <row r="418" spans="1:5">
      <c r="A418" s="17"/>
      <c r="D418" s="2" t="str">
        <f>IF(C418="","",IFERROR(INDEX('Purchase Tracker'!$J$4:$J$300,MATCH(C418,'Purchase Tracker'!$A$4:$A$300,0)),""))</f>
        <v/>
      </c>
      <c r="E418" s="2"/>
    </row>
    <row r="419" spans="1:5">
      <c r="A419" s="17"/>
      <c r="D419" s="2" t="str">
        <f>IF(C419="","",IFERROR(INDEX('Purchase Tracker'!$J$4:$J$300,MATCH(C419,'Purchase Tracker'!$A$4:$A$300,0)),""))</f>
        <v/>
      </c>
      <c r="E419" s="2"/>
    </row>
    <row r="420" spans="1:5">
      <c r="A420" s="17"/>
      <c r="D420" s="2" t="str">
        <f>IF(C420="","",IFERROR(INDEX('Purchase Tracker'!$J$4:$J$300,MATCH(C420,'Purchase Tracker'!$A$4:$A$300,0)),""))</f>
        <v/>
      </c>
      <c r="E420" s="2"/>
    </row>
    <row r="421" spans="1:5">
      <c r="A421" s="17"/>
      <c r="D421" s="2" t="str">
        <f>IF(C421="","",IFERROR(INDEX('Purchase Tracker'!$J$4:$J$300,MATCH(C421,'Purchase Tracker'!$A$4:$A$300,0)),""))</f>
        <v/>
      </c>
      <c r="E421" s="2"/>
    </row>
    <row r="422" spans="1:5">
      <c r="A422" s="17"/>
      <c r="D422" s="2" t="str">
        <f>IF(C422="","",IFERROR(INDEX('Purchase Tracker'!$J$4:$J$300,MATCH(C422,'Purchase Tracker'!$A$4:$A$300,0)),""))</f>
        <v/>
      </c>
      <c r="E422" s="2"/>
    </row>
    <row r="423" spans="1:5">
      <c r="A423" s="17"/>
      <c r="D423" s="2" t="str">
        <f>IF(C423="","",IFERROR(INDEX('Purchase Tracker'!$J$4:$J$300,MATCH(C423,'Purchase Tracker'!$A$4:$A$300,0)),""))</f>
        <v/>
      </c>
      <c r="E423" s="2"/>
    </row>
    <row r="424" spans="1:5">
      <c r="A424" s="17"/>
      <c r="D424" s="2" t="str">
        <f>IF(C424="","",IFERROR(INDEX('Purchase Tracker'!$J$4:$J$300,MATCH(C424,'Purchase Tracker'!$A$4:$A$300,0)),""))</f>
        <v/>
      </c>
      <c r="E424" s="2"/>
    </row>
    <row r="425" spans="1:5">
      <c r="A425" s="17"/>
      <c r="D425" s="2" t="str">
        <f>IF(C425="","",IFERROR(INDEX('Purchase Tracker'!$J$4:$J$300,MATCH(C425,'Purchase Tracker'!$A$4:$A$300,0)),""))</f>
        <v/>
      </c>
      <c r="E425" s="2"/>
    </row>
    <row r="426" spans="1:5">
      <c r="A426" s="17"/>
      <c r="D426" s="2" t="str">
        <f>IF(C426="","",IFERROR(INDEX('Purchase Tracker'!$J$4:$J$300,MATCH(C426,'Purchase Tracker'!$A$4:$A$300,0)),""))</f>
        <v/>
      </c>
      <c r="E426" s="2"/>
    </row>
    <row r="427" spans="1:5">
      <c r="A427" s="17"/>
      <c r="D427" s="2" t="str">
        <f>IF(C427="","",IFERROR(INDEX('Purchase Tracker'!$J$4:$J$300,MATCH(C427,'Purchase Tracker'!$A$4:$A$300,0)),""))</f>
        <v/>
      </c>
      <c r="E427" s="2"/>
    </row>
    <row r="428" spans="1:5">
      <c r="A428" s="17"/>
      <c r="D428" s="2" t="str">
        <f>IF(C428="","",IFERROR(INDEX('Purchase Tracker'!$J$4:$J$300,MATCH(C428,'Purchase Tracker'!$A$4:$A$300,0)),""))</f>
        <v/>
      </c>
      <c r="E428" s="2"/>
    </row>
    <row r="429" spans="1:5">
      <c r="A429" s="17"/>
      <c r="D429" s="2" t="str">
        <f>IF(C429="","",IFERROR(INDEX('Purchase Tracker'!$J$4:$J$300,MATCH(C429,'Purchase Tracker'!$A$4:$A$300,0)),""))</f>
        <v/>
      </c>
      <c r="E429" s="2"/>
    </row>
    <row r="430" spans="1:5">
      <c r="A430" s="17"/>
      <c r="D430" s="2" t="str">
        <f>IF(C430="","",IFERROR(INDEX('Purchase Tracker'!$J$4:$J$300,MATCH(C430,'Purchase Tracker'!$A$4:$A$300,0)),""))</f>
        <v/>
      </c>
      <c r="E430" s="2"/>
    </row>
    <row r="431" spans="1:5">
      <c r="A431" s="17"/>
      <c r="D431" s="2" t="str">
        <f>IF(C431="","",IFERROR(INDEX('Purchase Tracker'!$J$4:$J$300,MATCH(C431,'Purchase Tracker'!$A$4:$A$300,0)),""))</f>
        <v/>
      </c>
      <c r="E431" s="2"/>
    </row>
    <row r="432" spans="1:5">
      <c r="A432" s="17"/>
      <c r="D432" s="2" t="str">
        <f>IF(C432="","",IFERROR(INDEX('Purchase Tracker'!$J$4:$J$300,MATCH(C432,'Purchase Tracker'!$A$4:$A$300,0)),""))</f>
        <v/>
      </c>
      <c r="E432" s="2"/>
    </row>
    <row r="433" spans="1:5">
      <c r="A433" s="17"/>
      <c r="D433" s="2" t="str">
        <f>IF(C433="","",IFERROR(INDEX('Purchase Tracker'!$J$4:$J$300,MATCH(C433,'Purchase Tracker'!$A$4:$A$300,0)),""))</f>
        <v/>
      </c>
      <c r="E433" s="2"/>
    </row>
    <row r="434" spans="1:5">
      <c r="A434" s="17"/>
      <c r="D434" s="2" t="str">
        <f>IF(C434="","",IFERROR(INDEX('Purchase Tracker'!$J$4:$J$300,MATCH(C434,'Purchase Tracker'!$A$4:$A$300,0)),""))</f>
        <v/>
      </c>
      <c r="E434" s="2"/>
    </row>
    <row r="435" spans="1:5">
      <c r="A435" s="17"/>
      <c r="D435" s="2" t="str">
        <f>IF(C435="","",IFERROR(INDEX('Purchase Tracker'!$J$4:$J$300,MATCH(C435,'Purchase Tracker'!$A$4:$A$300,0)),""))</f>
        <v/>
      </c>
      <c r="E435" s="2"/>
    </row>
    <row r="436" spans="1:5">
      <c r="A436" s="17"/>
      <c r="D436" s="2" t="str">
        <f>IF(C436="","",IFERROR(INDEX('Purchase Tracker'!$J$4:$J$300,MATCH(C436,'Purchase Tracker'!$A$4:$A$300,0)),""))</f>
        <v/>
      </c>
      <c r="E436" s="2"/>
    </row>
    <row r="437" spans="1:5">
      <c r="A437" s="17"/>
      <c r="D437" s="2" t="str">
        <f>IF(C437="","",IFERROR(INDEX('Purchase Tracker'!$J$4:$J$300,MATCH(C437,'Purchase Tracker'!$A$4:$A$300,0)),""))</f>
        <v/>
      </c>
      <c r="E437" s="2"/>
    </row>
    <row r="438" spans="1:5">
      <c r="A438" s="17"/>
      <c r="D438" s="2" t="str">
        <f>IF(C438="","",IFERROR(INDEX('Purchase Tracker'!$J$4:$J$300,MATCH(C438,'Purchase Tracker'!$A$4:$A$300,0)),""))</f>
        <v/>
      </c>
      <c r="E438" s="2"/>
    </row>
    <row r="439" spans="1:5">
      <c r="A439" s="17"/>
      <c r="D439" s="2" t="str">
        <f>IF(C439="","",IFERROR(INDEX('Purchase Tracker'!$J$4:$J$300,MATCH(C439,'Purchase Tracker'!$A$4:$A$300,0)),""))</f>
        <v/>
      </c>
      <c r="E439" s="2"/>
    </row>
    <row r="440" spans="1:5">
      <c r="A440" s="17"/>
      <c r="D440" s="2" t="str">
        <f>IF(C440="","",IFERROR(INDEX('Purchase Tracker'!$J$4:$J$300,MATCH(C440,'Purchase Tracker'!$A$4:$A$300,0)),""))</f>
        <v/>
      </c>
      <c r="E440" s="2"/>
    </row>
    <row r="441" spans="1:5">
      <c r="A441" s="17"/>
      <c r="D441" s="2" t="str">
        <f>IF(C441="","",IFERROR(INDEX('Purchase Tracker'!$J$4:$J$300,MATCH(C441,'Purchase Tracker'!$A$4:$A$300,0)),""))</f>
        <v/>
      </c>
      <c r="E441" s="2"/>
    </row>
    <row r="442" spans="1:5">
      <c r="A442" s="17"/>
      <c r="D442" s="2" t="str">
        <f>IF(C442="","",IFERROR(INDEX('Purchase Tracker'!$J$4:$J$300,MATCH(C442,'Purchase Tracker'!$A$4:$A$300,0)),""))</f>
        <v/>
      </c>
      <c r="E442" s="2"/>
    </row>
    <row r="443" spans="1:5">
      <c r="A443" s="17"/>
      <c r="D443" s="2" t="str">
        <f>IF(C443="","",IFERROR(INDEX('Purchase Tracker'!$J$4:$J$300,MATCH(C443,'Purchase Tracker'!$A$4:$A$300,0)),""))</f>
        <v/>
      </c>
      <c r="E443" s="2"/>
    </row>
    <row r="444" spans="1:5">
      <c r="A444" s="17"/>
      <c r="D444" s="2" t="str">
        <f>IF(C444="","",IFERROR(INDEX('Purchase Tracker'!$J$4:$J$300,MATCH(C444,'Purchase Tracker'!$A$4:$A$300,0)),""))</f>
        <v/>
      </c>
      <c r="E444" s="2"/>
    </row>
    <row r="445" spans="1:5">
      <c r="A445" s="17"/>
      <c r="D445" s="2" t="str">
        <f>IF(C445="","",IFERROR(INDEX('Purchase Tracker'!$J$4:$J$300,MATCH(C445,'Purchase Tracker'!$A$4:$A$300,0)),""))</f>
        <v/>
      </c>
      <c r="E445" s="2"/>
    </row>
    <row r="446" spans="1:5">
      <c r="A446" s="17"/>
      <c r="D446" s="2" t="str">
        <f>IF(C446="","",IFERROR(INDEX('Purchase Tracker'!$J$4:$J$300,MATCH(C446,'Purchase Tracker'!$A$4:$A$300,0)),""))</f>
        <v/>
      </c>
      <c r="E446" s="2"/>
    </row>
    <row r="447" spans="1:5">
      <c r="A447" s="17"/>
      <c r="D447" s="2" t="str">
        <f>IF(C447="","",IFERROR(INDEX('Purchase Tracker'!$J$4:$J$300,MATCH(C447,'Purchase Tracker'!$A$4:$A$300,0)),""))</f>
        <v/>
      </c>
      <c r="E447" s="2"/>
    </row>
    <row r="448" spans="1:5">
      <c r="A448" s="17"/>
      <c r="D448" s="2" t="str">
        <f>IF(C448="","",IFERROR(INDEX('Purchase Tracker'!$J$4:$J$300,MATCH(C448,'Purchase Tracker'!$A$4:$A$300,0)),""))</f>
        <v/>
      </c>
      <c r="E448" s="2"/>
    </row>
    <row r="449" spans="1:5">
      <c r="A449" s="17"/>
      <c r="D449" s="2" t="str">
        <f>IF(C449="","",IFERROR(INDEX('Purchase Tracker'!$J$4:$J$300,MATCH(C449,'Purchase Tracker'!$A$4:$A$300,0)),""))</f>
        <v/>
      </c>
      <c r="E449" s="2"/>
    </row>
    <row r="450" spans="1:5">
      <c r="A450" s="17"/>
      <c r="D450" s="2" t="str">
        <f>IF(C450="","",IFERROR(INDEX('Purchase Tracker'!$J$4:$J$300,MATCH(C450,'Purchase Tracker'!$A$4:$A$300,0)),""))</f>
        <v/>
      </c>
      <c r="E450" s="2"/>
    </row>
    <row r="451" spans="1:5">
      <c r="A451" s="17"/>
      <c r="D451" s="2" t="str">
        <f>IF(C451="","",IFERROR(INDEX('Purchase Tracker'!$J$4:$J$300,MATCH(C451,'Purchase Tracker'!$A$4:$A$300,0)),""))</f>
        <v/>
      </c>
      <c r="E451" s="2"/>
    </row>
    <row r="452" spans="1:5">
      <c r="A452" s="17"/>
      <c r="D452" s="2" t="str">
        <f>IF(C452="","",IFERROR(INDEX('Purchase Tracker'!$J$4:$J$300,MATCH(C452,'Purchase Tracker'!$A$4:$A$300,0)),""))</f>
        <v/>
      </c>
      <c r="E452" s="2"/>
    </row>
    <row r="453" spans="1:5">
      <c r="A453" s="17"/>
      <c r="D453" s="2" t="str">
        <f>IF(C453="","",IFERROR(INDEX('Purchase Tracker'!$J$4:$J$300,MATCH(C453,'Purchase Tracker'!$A$4:$A$300,0)),""))</f>
        <v/>
      </c>
      <c r="E453" s="2"/>
    </row>
    <row r="454" spans="1:5">
      <c r="A454" s="17"/>
      <c r="D454" s="2" t="str">
        <f>IF(C454="","",IFERROR(INDEX('Purchase Tracker'!$J$4:$J$300,MATCH(C454,'Purchase Tracker'!$A$4:$A$300,0)),""))</f>
        <v/>
      </c>
      <c r="E454" s="2"/>
    </row>
    <row r="455" spans="1:5">
      <c r="A455" s="17"/>
      <c r="D455" s="2" t="str">
        <f>IF(C455="","",IFERROR(INDEX('Purchase Tracker'!$J$4:$J$300,MATCH(C455,'Purchase Tracker'!$A$4:$A$300,0)),""))</f>
        <v/>
      </c>
      <c r="E455" s="2"/>
    </row>
    <row r="456" spans="1:5">
      <c r="A456" s="17"/>
      <c r="D456" s="2" t="str">
        <f>IF(C456="","",IFERROR(INDEX('Purchase Tracker'!$J$4:$J$300,MATCH(C456,'Purchase Tracker'!$A$4:$A$300,0)),""))</f>
        <v/>
      </c>
      <c r="E456" s="2"/>
    </row>
    <row r="457" spans="1:5">
      <c r="A457" s="17"/>
      <c r="D457" s="2" t="str">
        <f>IF(C457="","",IFERROR(INDEX('Purchase Tracker'!$J$4:$J$300,MATCH(C457,'Purchase Tracker'!$A$4:$A$300,0)),""))</f>
        <v/>
      </c>
      <c r="E457" s="2"/>
    </row>
    <row r="458" spans="1:5">
      <c r="A458" s="17"/>
      <c r="D458" s="2" t="str">
        <f>IF(C458="","",IFERROR(INDEX('Purchase Tracker'!$J$4:$J$300,MATCH(C458,'Purchase Tracker'!$A$4:$A$300,0)),""))</f>
        <v/>
      </c>
      <c r="E458" s="2"/>
    </row>
    <row r="459" spans="1:5">
      <c r="A459" s="17"/>
      <c r="D459" s="2" t="str">
        <f>IF(C459="","",IFERROR(INDEX('Purchase Tracker'!$J$4:$J$300,MATCH(C459,'Purchase Tracker'!$A$4:$A$300,0)),""))</f>
        <v/>
      </c>
      <c r="E459" s="2"/>
    </row>
    <row r="460" spans="1:5">
      <c r="A460" s="17"/>
      <c r="D460" s="2" t="str">
        <f>IF(C460="","",IFERROR(INDEX('Purchase Tracker'!$J$4:$J$300,MATCH(C460,'Purchase Tracker'!$A$4:$A$300,0)),""))</f>
        <v/>
      </c>
      <c r="E460" s="2"/>
    </row>
    <row r="461" spans="1:5">
      <c r="A461" s="17"/>
      <c r="D461" s="2" t="str">
        <f>IF(C461="","",IFERROR(INDEX('Purchase Tracker'!$J$4:$J$300,MATCH(C461,'Purchase Tracker'!$A$4:$A$300,0)),""))</f>
        <v/>
      </c>
      <c r="E461" s="2"/>
    </row>
    <row r="462" spans="1:5">
      <c r="A462" s="17"/>
      <c r="D462" s="2" t="str">
        <f>IF(C462="","",IFERROR(INDEX('Purchase Tracker'!$J$4:$J$300,MATCH(C462,'Purchase Tracker'!$A$4:$A$300,0)),""))</f>
        <v/>
      </c>
      <c r="E462" s="2"/>
    </row>
    <row r="463" spans="1:5">
      <c r="A463" s="17"/>
      <c r="D463" s="2" t="str">
        <f>IF(C463="","",IFERROR(INDEX('Purchase Tracker'!$J$4:$J$300,MATCH(C463,'Purchase Tracker'!$A$4:$A$300,0)),""))</f>
        <v/>
      </c>
      <c r="E463" s="2"/>
    </row>
    <row r="464" spans="1:5">
      <c r="A464" s="17"/>
      <c r="D464" s="2" t="str">
        <f>IF(C464="","",IFERROR(INDEX('Purchase Tracker'!$J$4:$J$300,MATCH(C464,'Purchase Tracker'!$A$4:$A$300,0)),""))</f>
        <v/>
      </c>
      <c r="E464" s="2"/>
    </row>
    <row r="465" spans="1:5">
      <c r="A465" s="17"/>
      <c r="D465" s="2" t="str">
        <f>IF(C465="","",IFERROR(INDEX('Purchase Tracker'!$J$4:$J$300,MATCH(C465,'Purchase Tracker'!$A$4:$A$300,0)),""))</f>
        <v/>
      </c>
      <c r="E465" s="2"/>
    </row>
    <row r="466" spans="1:5">
      <c r="A466" s="17"/>
      <c r="D466" s="2" t="str">
        <f>IF(C466="","",IFERROR(INDEX('Purchase Tracker'!$J$4:$J$300,MATCH(C466,'Purchase Tracker'!$A$4:$A$300,0)),""))</f>
        <v/>
      </c>
      <c r="E466" s="2"/>
    </row>
    <row r="467" spans="1:5">
      <c r="A467" s="17"/>
      <c r="D467" s="2" t="str">
        <f>IF(C467="","",IFERROR(INDEX('Purchase Tracker'!$J$4:$J$300,MATCH(C467,'Purchase Tracker'!$A$4:$A$300,0)),""))</f>
        <v/>
      </c>
      <c r="E467" s="2"/>
    </row>
    <row r="468" spans="1:5">
      <c r="A468" s="17"/>
      <c r="D468" s="2" t="str">
        <f>IF(C468="","",IFERROR(INDEX('Purchase Tracker'!$J$4:$J$300,MATCH(C468,'Purchase Tracker'!$A$4:$A$300,0)),""))</f>
        <v/>
      </c>
      <c r="E468" s="2"/>
    </row>
    <row r="469" spans="1:5">
      <c r="A469" s="17"/>
      <c r="D469" s="2" t="str">
        <f>IF(C469="","",IFERROR(INDEX('Purchase Tracker'!$J$4:$J$300,MATCH(C469,'Purchase Tracker'!$A$4:$A$300,0)),""))</f>
        <v/>
      </c>
      <c r="E469" s="2"/>
    </row>
    <row r="470" spans="1:5">
      <c r="A470" s="17"/>
      <c r="D470" s="2" t="str">
        <f>IF(C470="","",IFERROR(INDEX('Purchase Tracker'!$J$4:$J$300,MATCH(C470,'Purchase Tracker'!$A$4:$A$300,0)),""))</f>
        <v/>
      </c>
      <c r="E470" s="2"/>
    </row>
    <row r="471" spans="1:5">
      <c r="A471" s="17"/>
      <c r="D471" s="2" t="str">
        <f>IF(C471="","",IFERROR(INDEX('Purchase Tracker'!$J$4:$J$300,MATCH(C471,'Purchase Tracker'!$A$4:$A$300,0)),""))</f>
        <v/>
      </c>
      <c r="E471" s="2"/>
    </row>
    <row r="472" spans="1:5">
      <c r="A472" s="17"/>
      <c r="D472" s="2" t="str">
        <f>IF(C472="","",IFERROR(INDEX('Purchase Tracker'!$J$4:$J$300,MATCH(C472,'Purchase Tracker'!$A$4:$A$300,0)),""))</f>
        <v/>
      </c>
      <c r="E472" s="2"/>
    </row>
    <row r="473" spans="1:5">
      <c r="A473" s="17"/>
      <c r="D473" s="2" t="str">
        <f>IF(C473="","",IFERROR(INDEX('Purchase Tracker'!$J$4:$J$300,MATCH(C473,'Purchase Tracker'!$A$4:$A$300,0)),""))</f>
        <v/>
      </c>
      <c r="E473" s="2"/>
    </row>
    <row r="474" spans="1:5">
      <c r="A474" s="17"/>
      <c r="D474" s="2" t="str">
        <f>IF(C474="","",IFERROR(INDEX('Purchase Tracker'!$J$4:$J$300,MATCH(C474,'Purchase Tracker'!$A$4:$A$300,0)),""))</f>
        <v/>
      </c>
      <c r="E474" s="2"/>
    </row>
    <row r="475" spans="1:5">
      <c r="A475" s="17"/>
      <c r="D475" s="2" t="str">
        <f>IF(C475="","",IFERROR(INDEX('Purchase Tracker'!$J$4:$J$300,MATCH(C475,'Purchase Tracker'!$A$4:$A$300,0)),""))</f>
        <v/>
      </c>
      <c r="E475" s="2"/>
    </row>
    <row r="476" spans="1:5">
      <c r="A476" s="17"/>
      <c r="D476" s="2" t="str">
        <f>IF(C476="","",IFERROR(INDEX('Purchase Tracker'!$J$4:$J$300,MATCH(C476,'Purchase Tracker'!$A$4:$A$300,0)),""))</f>
        <v/>
      </c>
      <c r="E476" s="2"/>
    </row>
    <row r="477" spans="1:5">
      <c r="A477" s="17"/>
      <c r="D477" s="2" t="str">
        <f>IF(C477="","",IFERROR(INDEX('Purchase Tracker'!$J$4:$J$300,MATCH(C477,'Purchase Tracker'!$A$4:$A$300,0)),""))</f>
        <v/>
      </c>
      <c r="E477" s="2"/>
    </row>
    <row r="478" spans="1:5">
      <c r="A478" s="17"/>
      <c r="D478" s="2" t="str">
        <f>IF(C478="","",IFERROR(INDEX('Purchase Tracker'!$J$4:$J$300,MATCH(C478,'Purchase Tracker'!$A$4:$A$300,0)),""))</f>
        <v/>
      </c>
      <c r="E478" s="2"/>
    </row>
    <row r="479" spans="1:5">
      <c r="A479" s="17"/>
      <c r="D479" s="2" t="str">
        <f>IF(C479="","",IFERROR(INDEX('Purchase Tracker'!$J$4:$J$300,MATCH(C479,'Purchase Tracker'!$A$4:$A$300,0)),""))</f>
        <v/>
      </c>
      <c r="E479" s="2"/>
    </row>
    <row r="480" spans="1:5">
      <c r="A480" s="17"/>
      <c r="D480" s="2" t="str">
        <f>IF(C480="","",IFERROR(INDEX('Purchase Tracker'!$J$4:$J$300,MATCH(C480,'Purchase Tracker'!$A$4:$A$300,0)),""))</f>
        <v/>
      </c>
      <c r="E480" s="2"/>
    </row>
    <row r="481" spans="1:5">
      <c r="A481" s="17"/>
      <c r="D481" s="2" t="str">
        <f>IF(C481="","",IFERROR(INDEX('Purchase Tracker'!$J$4:$J$300,MATCH(C481,'Purchase Tracker'!$A$4:$A$300,0)),""))</f>
        <v/>
      </c>
      <c r="E481" s="2"/>
    </row>
    <row r="482" spans="1:5">
      <c r="A482" s="17"/>
      <c r="D482" s="2" t="str">
        <f>IF(C482="","",IFERROR(INDEX('Purchase Tracker'!$J$4:$J$300,MATCH(C482,'Purchase Tracker'!$A$4:$A$300,0)),""))</f>
        <v/>
      </c>
      <c r="E482" s="2"/>
    </row>
    <row r="483" spans="1:5">
      <c r="A483" s="17"/>
      <c r="D483" s="2" t="str">
        <f>IF(C483="","",IFERROR(INDEX('Purchase Tracker'!$J$4:$J$300,MATCH(C483,'Purchase Tracker'!$A$4:$A$300,0)),""))</f>
        <v/>
      </c>
      <c r="E483" s="2"/>
    </row>
    <row r="484" spans="1:5">
      <c r="A484" s="17"/>
      <c r="D484" s="2" t="str">
        <f>IF(C484="","",IFERROR(INDEX('Purchase Tracker'!$J$4:$J$300,MATCH(C484,'Purchase Tracker'!$A$4:$A$300,0)),""))</f>
        <v/>
      </c>
      <c r="E484" s="2"/>
    </row>
    <row r="485" spans="1:5">
      <c r="A485" s="17"/>
      <c r="D485" s="2" t="str">
        <f>IF(C485="","",IFERROR(INDEX('Purchase Tracker'!$J$4:$J$300,MATCH(C485,'Purchase Tracker'!$A$4:$A$300,0)),""))</f>
        <v/>
      </c>
      <c r="E485" s="2"/>
    </row>
    <row r="486" spans="1:5">
      <c r="A486" s="17"/>
      <c r="D486" s="2" t="str">
        <f>IF(C486="","",IFERROR(INDEX('Purchase Tracker'!$J$4:$J$300,MATCH(C486,'Purchase Tracker'!$A$4:$A$300,0)),""))</f>
        <v/>
      </c>
      <c r="E486" s="2"/>
    </row>
    <row r="487" spans="1:5">
      <c r="A487" s="17"/>
      <c r="D487" s="2" t="str">
        <f>IF(C487="","",IFERROR(INDEX('Purchase Tracker'!$J$4:$J$300,MATCH(C487,'Purchase Tracker'!$A$4:$A$300,0)),""))</f>
        <v/>
      </c>
      <c r="E487" s="2"/>
    </row>
    <row r="488" spans="1:5">
      <c r="A488" s="17"/>
      <c r="D488" s="2" t="str">
        <f>IF(C488="","",IFERROR(INDEX('Purchase Tracker'!$J$4:$J$300,MATCH(C488,'Purchase Tracker'!$A$4:$A$300,0)),""))</f>
        <v/>
      </c>
      <c r="E488" s="2"/>
    </row>
    <row r="489" spans="1:5">
      <c r="A489" s="17"/>
      <c r="D489" s="2" t="str">
        <f>IF(C489="","",IFERROR(INDEX('Purchase Tracker'!$J$4:$J$300,MATCH(C489,'Purchase Tracker'!$A$4:$A$300,0)),""))</f>
        <v/>
      </c>
      <c r="E489" s="2"/>
    </row>
    <row r="490" spans="1:5">
      <c r="A490" s="17"/>
      <c r="D490" s="2" t="str">
        <f>IF(C490="","",IFERROR(INDEX('Purchase Tracker'!$J$4:$J$300,MATCH(C490,'Purchase Tracker'!$A$4:$A$300,0)),""))</f>
        <v/>
      </c>
      <c r="E490" s="2"/>
    </row>
    <row r="491" spans="1:5">
      <c r="A491" s="17"/>
      <c r="D491" s="2" t="str">
        <f>IF(C491="","",IFERROR(INDEX('Purchase Tracker'!$J$4:$J$300,MATCH(C491,'Purchase Tracker'!$A$4:$A$300,0)),""))</f>
        <v/>
      </c>
      <c r="E491" s="2"/>
    </row>
    <row r="492" spans="1:5">
      <c r="A492" s="17"/>
      <c r="D492" s="2" t="str">
        <f>IF(C492="","",IFERROR(INDEX('Purchase Tracker'!$J$4:$J$300,MATCH(C492,'Purchase Tracker'!$A$4:$A$300,0)),""))</f>
        <v/>
      </c>
      <c r="E492" s="2"/>
    </row>
    <row r="493" spans="1:5">
      <c r="A493" s="17"/>
      <c r="D493" s="2" t="str">
        <f>IF(C493="","",IFERROR(INDEX('Purchase Tracker'!$J$4:$J$300,MATCH(C493,'Purchase Tracker'!$A$4:$A$300,0)),""))</f>
        <v/>
      </c>
      <c r="E493" s="2"/>
    </row>
    <row r="494" spans="1:5">
      <c r="A494" s="17"/>
      <c r="D494" s="2" t="str">
        <f>IF(C494="","",IFERROR(INDEX('Purchase Tracker'!$J$4:$J$300,MATCH(C494,'Purchase Tracker'!$A$4:$A$300,0)),""))</f>
        <v/>
      </c>
      <c r="E494" s="2"/>
    </row>
    <row r="495" spans="1:5">
      <c r="A495" s="17"/>
      <c r="D495" s="2" t="str">
        <f>IF(C495="","",IFERROR(INDEX('Purchase Tracker'!$J$4:$J$300,MATCH(C495,'Purchase Tracker'!$A$4:$A$300,0)),""))</f>
        <v/>
      </c>
      <c r="E495" s="2"/>
    </row>
    <row r="496" spans="1:5">
      <c r="A496" s="17"/>
      <c r="D496" s="2" t="str">
        <f>IF(C496="","",IFERROR(INDEX('Purchase Tracker'!$J$4:$J$300,MATCH(C496,'Purchase Tracker'!$A$4:$A$300,0)),""))</f>
        <v/>
      </c>
      <c r="E496" s="2"/>
    </row>
    <row r="497" spans="1:5">
      <c r="A497" s="17"/>
      <c r="D497" s="2" t="str">
        <f>IF(C497="","",IFERROR(INDEX('Purchase Tracker'!$J$4:$J$300,MATCH(C497,'Purchase Tracker'!$A$4:$A$300,0)),""))</f>
        <v/>
      </c>
      <c r="E497" s="2"/>
    </row>
    <row r="498" spans="1:5">
      <c r="A498" s="17"/>
      <c r="D498" s="2" t="str">
        <f>IF(C498="","",IFERROR(INDEX('Purchase Tracker'!$J$4:$J$300,MATCH(C498,'Purchase Tracker'!$A$4:$A$300,0)),""))</f>
        <v/>
      </c>
      <c r="E498" s="2"/>
    </row>
    <row r="499" spans="1:5">
      <c r="A499" s="17"/>
      <c r="D499" s="2" t="str">
        <f>IF(C499="","",IFERROR(INDEX('Purchase Tracker'!$J$4:$J$300,MATCH(C499,'Purchase Tracker'!$A$4:$A$300,0)),""))</f>
        <v/>
      </c>
      <c r="E499" s="2"/>
    </row>
    <row r="500" spans="1:5">
      <c r="A500" s="17"/>
      <c r="D500" s="2" t="str">
        <f>IF(C500="","",IFERROR(INDEX('Purchase Tracker'!$J$4:$J$300,MATCH(C500,'Purchase Tracker'!$A$4:$A$300,0)),""))</f>
        <v/>
      </c>
      <c r="E500" s="2"/>
    </row>
    <row r="501" spans="1:5">
      <c r="A501" s="17"/>
      <c r="D501" s="2" t="str">
        <f>IF(C501="","",IFERROR(INDEX('Purchase Tracker'!$J$4:$J$300,MATCH(C501,'Purchase Tracker'!$A$4:$A$300,0)),""))</f>
        <v/>
      </c>
      <c r="E501" s="2"/>
    </row>
  </sheetData>
  <mergeCells count="2">
    <mergeCell ref="A1:F1"/>
    <mergeCell ref="A2:F2"/>
  </mergeCells>
  <phoneticPr fontId="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'Supplier Master'!$A$2:$A$200</xm:f>
          </x14:formula1>
          <xm:sqref>B4:B501</xm:sqref>
        </x14:dataValidation>
        <x14:dataValidation type="list" xr:uid="{00000000-0002-0000-0100-000002000000}">
          <x14:formula1>
            <xm:f>Lists!$B$2:$B$7</xm:f>
          </x14:formula1>
          <xm:sqref>F4:F501</xm:sqref>
        </x14:dataValidation>
        <x14:dataValidation type="list" xr:uid="{00000000-0002-0000-0100-000001000000}">
          <x14:formula1>
            <xm:f>'Purchase Tracker'!$A$4:$A$300</xm:f>
          </x14:formula1>
          <xm:sqref>C4:C501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opLeftCell="A5" zoomScale="150" zoomScaleNormal="150" workbookViewId="0">
      <selection activeCell="F12" sqref="F12"/>
    </sheetView>
  </sheetViews>
  <sheetFormatPr baseColWidth="10" defaultColWidth="8.83203125" defaultRowHeight="14"/>
  <cols>
    <col min="1" max="1" width="26" customWidth="1"/>
    <col min="2" max="2" width="18" customWidth="1"/>
    <col min="3" max="4" width="16" customWidth="1"/>
    <col min="5" max="5" width="18" customWidth="1"/>
    <col min="6" max="6" width="14.6640625" customWidth="1"/>
    <col min="8" max="8" width="16" customWidth="1"/>
    <col min="9" max="9" width="17.33203125" bestFit="1" customWidth="1"/>
  </cols>
  <sheetData>
    <row r="1" spans="1:9" ht="18">
      <c r="A1" s="36" t="s">
        <v>29</v>
      </c>
      <c r="B1" s="36"/>
      <c r="C1" s="36"/>
      <c r="D1" s="36"/>
      <c r="E1" s="36"/>
    </row>
    <row r="3" spans="1:9" ht="15">
      <c r="A3" s="3" t="s">
        <v>30</v>
      </c>
      <c r="B3" s="12">
        <f>SUM('Purchase Tracker'!F4:F300)</f>
        <v>167274849.53448278</v>
      </c>
      <c r="D3" s="1"/>
      <c r="E3" s="1"/>
    </row>
    <row r="4" spans="1:9" ht="15">
      <c r="A4" s="3" t="s">
        <v>9</v>
      </c>
      <c r="B4" s="12">
        <f>SUM('Purchase Tracker'!H4:H300)</f>
        <v>16768306.246305419</v>
      </c>
      <c r="E4" s="12"/>
    </row>
    <row r="5" spans="1:9" ht="15">
      <c r="A5" s="3" t="s">
        <v>31</v>
      </c>
      <c r="B5" s="12">
        <f>SUM('Purchase Tracker'!I4:I300)</f>
        <v>2257598.1493226597</v>
      </c>
      <c r="E5" s="12"/>
    </row>
    <row r="6" spans="1:9" ht="15">
      <c r="A6" s="3" t="s">
        <v>11</v>
      </c>
      <c r="B6" s="12">
        <f>SUM('Purchase Tracker'!J4:J300)</f>
        <v>152764141.43750006</v>
      </c>
      <c r="E6" s="12"/>
    </row>
    <row r="7" spans="1:9" ht="15">
      <c r="A7" s="3" t="s">
        <v>12</v>
      </c>
      <c r="B7" s="12">
        <f>SUM('Purchase Tracker'!K4:K300)</f>
        <v>152764141.43750006</v>
      </c>
      <c r="E7" s="12"/>
    </row>
    <row r="8" spans="1:9" ht="15">
      <c r="A8" s="3" t="s">
        <v>32</v>
      </c>
      <c r="B8" s="12">
        <f>SUM('Purchase Tracker'!P4:P300)</f>
        <v>92993198.5</v>
      </c>
    </row>
    <row r="9" spans="1:9" ht="15">
      <c r="A9" s="3" t="s">
        <v>33</v>
      </c>
      <c r="B9" s="12">
        <f>SUM('Purchase Tracker'!Q4:Q300)</f>
        <v>59770942.937499978</v>
      </c>
    </row>
    <row r="10" spans="1:9" ht="15">
      <c r="A10" s="3" t="s">
        <v>34</v>
      </c>
      <c r="B10" s="12">
        <f ca="1">SUMIFS('Purchase Tracker'!Q4:Q300,'Purchase Tracker'!N4:N300,"&lt;0")</f>
        <v>22868549.367499992</v>
      </c>
    </row>
    <row r="12" spans="1:9" ht="17" customHeight="1">
      <c r="A12" s="4" t="s">
        <v>3</v>
      </c>
      <c r="B12" s="4" t="s">
        <v>35</v>
      </c>
      <c r="C12" s="4" t="s">
        <v>17</v>
      </c>
      <c r="D12" s="4" t="s">
        <v>18</v>
      </c>
      <c r="E12" s="4" t="s">
        <v>34</v>
      </c>
      <c r="F12" s="4" t="s">
        <v>159</v>
      </c>
    </row>
    <row r="13" spans="1:9">
      <c r="A13" t="s">
        <v>21</v>
      </c>
      <c r="B13" s="12">
        <f>SUMIFS('Purchase Tracker'!$K$4:$K$300,'Purchase Tracker'!$B$4:$B$300,A13)</f>
        <v>16111567.000000002</v>
      </c>
      <c r="C13" s="12">
        <f>SUMIFS('Purchase Tracker'!$P$4:$P$300,'Purchase Tracker'!$B$4:$B$300,A13)</f>
        <v>16124397</v>
      </c>
      <c r="D13" s="25">
        <f>SUMIFS('Purchase Tracker'!$Q$4:$Q$300,'Purchase Tracker'!$B$4:$B$300,A13)</f>
        <v>-12829.999999998137</v>
      </c>
      <c r="E13" s="12">
        <f ca="1">SUMIFS('Purchase Tracker'!$Q$4:$Q$300,'Purchase Tracker'!$B$4:$B$300,A13,'Purchase Tracker'!$N$4:$N$300,"&lt;0")</f>
        <v>-12829.999999998137</v>
      </c>
      <c r="I13" s="26"/>
    </row>
    <row r="14" spans="1:9">
      <c r="A14" t="s">
        <v>36</v>
      </c>
      <c r="B14" s="12">
        <f>SUMIFS('Purchase Tracker'!$K$4:$K$300,'Purchase Tracker'!$B$4:$B$300,A14)</f>
        <v>44896178.559999995</v>
      </c>
      <c r="C14" s="12">
        <f>SUMIFS('Purchase Tracker'!$P$4:$P$300,'Purchase Tracker'!$B$4:$B$300,A14)</f>
        <v>22927511</v>
      </c>
      <c r="D14" s="25">
        <f>SUMIFS('Purchase Tracker'!$Q$4:$Q$300,'Purchase Tracker'!$B$4:$B$300,A14)</f>
        <v>21968667.560000002</v>
      </c>
      <c r="E14" s="12">
        <f ca="1">SUMIFS('Purchase Tracker'!$Q$4:$Q$300,'Purchase Tracker'!$B$4:$B$300,A14,'Purchase Tracker'!$N$4:$N$300,"&lt;0")</f>
        <v>2610563.1999999997</v>
      </c>
      <c r="I14" s="26"/>
    </row>
    <row r="15" spans="1:9">
      <c r="A15" t="s">
        <v>37</v>
      </c>
      <c r="B15" s="12">
        <f>SUMIFS('Purchase Tracker'!$K$4:$K$300,'Purchase Tracker'!$B$4:$B$300,A15)</f>
        <v>13456159.5</v>
      </c>
      <c r="C15" s="12">
        <f>SUMIFS('Purchase Tracker'!$P$4:$P$300,'Purchase Tracker'!$B$4:$B$300,A15)</f>
        <v>13456159.5</v>
      </c>
      <c r="D15" s="25">
        <f>SUMIFS('Purchase Tracker'!$Q$4:$Q$300,'Purchase Tracker'!$B$4:$B$300,A15)</f>
        <v>0</v>
      </c>
      <c r="E15" s="12">
        <f ca="1">SUMIFS('Purchase Tracker'!$Q$4:$Q$300,'Purchase Tracker'!$B$4:$B$300,A15,'Purchase Tracker'!$N$4:$N$300,"&lt;0")</f>
        <v>0</v>
      </c>
      <c r="I15" s="26"/>
    </row>
    <row r="16" spans="1:9">
      <c r="A16" t="s">
        <v>39</v>
      </c>
      <c r="B16" s="12">
        <f>SUMIFS('Purchase Tracker'!$K$4:$K$300,'Purchase Tracker'!$B$4:$B$300,A16)</f>
        <v>5396329.9000000004</v>
      </c>
      <c r="C16" s="12">
        <f>SUMIFS('Purchase Tracker'!$P$4:$P$300,'Purchase Tracker'!$B$4:$B$300,A16)</f>
        <v>3000000</v>
      </c>
      <c r="D16" s="25">
        <f>SUMIFS('Purchase Tracker'!$Q$4:$Q$300,'Purchase Tracker'!$B$4:$B$300,A16)</f>
        <v>2396329.9</v>
      </c>
      <c r="E16" s="12">
        <f ca="1">SUMIFS('Purchase Tracker'!$Q$4:$Q$300,'Purchase Tracker'!$B$4:$B$300,A16,'Purchase Tracker'!$N$4:$N$300,"&lt;0")</f>
        <v>1349986.7</v>
      </c>
      <c r="I16" s="26"/>
    </row>
    <row r="17" spans="1:9">
      <c r="A17" t="s">
        <v>40</v>
      </c>
      <c r="B17" s="12">
        <f>SUMIFS('Purchase Tracker'!$K$4:$K$300,'Purchase Tracker'!$B$4:$B$300,A17)</f>
        <v>25577644.750000004</v>
      </c>
      <c r="C17" s="12">
        <f>SUMIFS('Purchase Tracker'!$P$4:$P$300,'Purchase Tracker'!$B$4:$B$300,A17)</f>
        <v>10901192</v>
      </c>
      <c r="D17" s="24">
        <f>SUMIFS('Purchase Tracker'!$Q$4:$Q$300,'Purchase Tracker'!$B$4:$B$300,A17)</f>
        <v>14676452.750000002</v>
      </c>
      <c r="E17" s="12">
        <f ca="1">SUMIFS('Purchase Tracker'!$Q$4:$Q$300,'Purchase Tracker'!$B$4:$B$300,A17,'Purchase Tracker'!$N$4:$N$300,"&lt;0")</f>
        <v>7583785</v>
      </c>
      <c r="I17" s="26"/>
    </row>
    <row r="18" spans="1:9">
      <c r="A18" t="s">
        <v>41</v>
      </c>
      <c r="B18" s="12">
        <f>SUMIFS('Purchase Tracker'!$K$4:$K$300,'Purchase Tracker'!$B$4:$B$300,A18)</f>
        <v>9309127.2249999996</v>
      </c>
      <c r="C18" s="12">
        <f>SUMIFS('Purchase Tracker'!$P$4:$P$300,'Purchase Tracker'!$B$4:$B$300,A18)</f>
        <v>6984221</v>
      </c>
      <c r="D18" s="25">
        <f>SUMIFS('Purchase Tracker'!$Q$4:$Q$300,'Purchase Tracker'!$B$4:$B$300,A18)</f>
        <v>2324906.2250000001</v>
      </c>
      <c r="E18" s="12">
        <f ca="1">SUMIFS('Purchase Tracker'!$Q$4:$Q$300,'Purchase Tracker'!$B$4:$B$300,A18,'Purchase Tracker'!$N$4:$N$300,"&lt;0")</f>
        <v>2324906.2250000001</v>
      </c>
      <c r="I18" s="26"/>
    </row>
    <row r="19" spans="1:9">
      <c r="A19" t="s">
        <v>42</v>
      </c>
      <c r="B19" s="12">
        <f>SUMIFS('Purchase Tracker'!$K$4:$K$300,'Purchase Tracker'!$B$4:$B$300,A19)</f>
        <v>29350158.502499998</v>
      </c>
      <c r="C19" s="12">
        <f>SUMIFS('Purchase Tracker'!$P$4:$P$300,'Purchase Tracker'!$B$4:$B$300,A19)</f>
        <v>12989944</v>
      </c>
      <c r="D19" s="24">
        <f>SUMIFS('Purchase Tracker'!$Q$4:$Q$300,'Purchase Tracker'!$B$4:$B$300,A19)</f>
        <v>16360214.502500003</v>
      </c>
      <c r="E19" s="12">
        <f ca="1">SUMIFS('Purchase Tracker'!$Q$4:$Q$300,'Purchase Tracker'!$B$4:$B$300,A19,'Purchase Tracker'!$N$4:$N$300,"&lt;0")</f>
        <v>9012138.2425000034</v>
      </c>
      <c r="I19" s="26"/>
    </row>
    <row r="20" spans="1:9">
      <c r="A20" t="s">
        <v>43</v>
      </c>
      <c r="B20" s="12">
        <f>SUMIFS('Purchase Tracker'!$K$4:$K$300,'Purchase Tracker'!$B$4:$B$300,A20)</f>
        <v>8666976</v>
      </c>
      <c r="C20" s="12">
        <f>SUMIFS('Purchase Tracker'!$P$4:$P$300,'Purchase Tracker'!$B$4:$B$300,A20)</f>
        <v>6609774</v>
      </c>
      <c r="D20" s="25">
        <f>SUMIFS('Purchase Tracker'!$Q$4:$Q$300,'Purchase Tracker'!$B$4:$B$300,A20)</f>
        <v>2057202</v>
      </c>
      <c r="E20" s="12">
        <f ca="1">SUMIFS('Purchase Tracker'!$Q$4:$Q$300,'Purchase Tracker'!$B$4:$B$300,A20,'Purchase Tracker'!$N$4:$N$300,"&lt;0")</f>
        <v>5.8207660913467407E-11</v>
      </c>
    </row>
    <row r="21" spans="1:9">
      <c r="A21" t="s">
        <v>44</v>
      </c>
      <c r="B21" s="12">
        <f>SUMIFS('Purchase Tracker'!$K$4:$K$300,'Purchase Tracker'!$B$4:$B$300,A21)</f>
        <v>0</v>
      </c>
      <c r="C21" s="12">
        <f>SUMIFS('Purchase Tracker'!$P$4:$P$300,'Purchase Tracker'!$B$4:$B$300,A21)</f>
        <v>0</v>
      </c>
      <c r="D21" s="12">
        <f>SUMIFS('Purchase Tracker'!$Q$4:$Q$300,'Purchase Tracker'!$B$4:$B$300,A21)</f>
        <v>0</v>
      </c>
      <c r="E21" s="12">
        <f>SUMIFS('Purchase Tracker'!$Q$4:$Q$300,'Purchase Tracker'!$B$4:$B$300,A21,'Purchase Tracker'!$N$4:$N$300,"&lt;0")</f>
        <v>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baseColWidth="10" defaultColWidth="8.83203125" defaultRowHeight="14"/>
  <cols>
    <col min="1" max="1" width="27" customWidth="1"/>
    <col min="2" max="3" width="23.5" customWidth="1"/>
    <col min="4" max="4" width="13.6640625" customWidth="1"/>
    <col min="5" max="5" width="19.83203125" customWidth="1"/>
    <col min="6" max="6" width="17.5" customWidth="1"/>
    <col min="7" max="7" width="13.33203125" customWidth="1"/>
    <col min="8" max="8" width="7.1640625" customWidth="1"/>
    <col min="10" max="10" width="16.5" customWidth="1"/>
  </cols>
  <sheetData>
    <row r="1" spans="1:10" s="15" customFormat="1" ht="32">
      <c r="A1" s="1" t="s">
        <v>3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20</v>
      </c>
      <c r="I1" s="13" t="s">
        <v>73</v>
      </c>
      <c r="J1" s="14" t="s">
        <v>74</v>
      </c>
    </row>
    <row r="2" spans="1:10">
      <c r="A2" t="s">
        <v>21</v>
      </c>
      <c r="B2" t="s">
        <v>57</v>
      </c>
      <c r="C2">
        <v>9892459129</v>
      </c>
      <c r="E2" t="s">
        <v>67</v>
      </c>
      <c r="F2">
        <v>90</v>
      </c>
      <c r="G2">
        <v>0</v>
      </c>
      <c r="I2" t="s">
        <v>75</v>
      </c>
      <c r="J2">
        <v>7356503187</v>
      </c>
    </row>
    <row r="3" spans="1:10">
      <c r="A3" t="s">
        <v>36</v>
      </c>
      <c r="B3" t="s">
        <v>58</v>
      </c>
      <c r="C3">
        <v>9048856868</v>
      </c>
      <c r="E3" t="s">
        <v>68</v>
      </c>
      <c r="F3">
        <v>90</v>
      </c>
      <c r="G3">
        <v>0</v>
      </c>
    </row>
    <row r="4" spans="1:10">
      <c r="A4" t="s">
        <v>37</v>
      </c>
      <c r="B4" t="s">
        <v>59</v>
      </c>
      <c r="C4">
        <v>9321455755</v>
      </c>
      <c r="E4" t="s">
        <v>69</v>
      </c>
      <c r="F4">
        <v>90</v>
      </c>
      <c r="G4">
        <v>0</v>
      </c>
    </row>
    <row r="5" spans="1:10">
      <c r="A5" t="s">
        <v>38</v>
      </c>
      <c r="B5" t="s">
        <v>60</v>
      </c>
      <c r="C5">
        <v>9747643707</v>
      </c>
      <c r="E5" t="s">
        <v>68</v>
      </c>
      <c r="F5">
        <v>90</v>
      </c>
      <c r="G5">
        <v>0</v>
      </c>
    </row>
    <row r="6" spans="1:10">
      <c r="A6" t="s">
        <v>39</v>
      </c>
      <c r="B6" t="s">
        <v>61</v>
      </c>
      <c r="C6">
        <v>9824345340</v>
      </c>
      <c r="E6" t="s">
        <v>70</v>
      </c>
      <c r="F6">
        <v>90</v>
      </c>
      <c r="G6">
        <v>0</v>
      </c>
    </row>
    <row r="7" spans="1:10">
      <c r="A7" t="s">
        <v>40</v>
      </c>
      <c r="B7" t="s">
        <v>62</v>
      </c>
      <c r="C7">
        <v>9870728848</v>
      </c>
      <c r="E7" t="s">
        <v>71</v>
      </c>
      <c r="F7">
        <v>90</v>
      </c>
      <c r="G7">
        <v>0</v>
      </c>
    </row>
    <row r="8" spans="1:10">
      <c r="A8" t="s">
        <v>41</v>
      </c>
      <c r="B8" t="s">
        <v>63</v>
      </c>
      <c r="C8">
        <v>9820384200</v>
      </c>
      <c r="F8">
        <v>90</v>
      </c>
      <c r="G8">
        <v>0</v>
      </c>
    </row>
    <row r="9" spans="1:10">
      <c r="A9" t="s">
        <v>42</v>
      </c>
      <c r="B9" t="s">
        <v>64</v>
      </c>
      <c r="C9">
        <v>9526329840</v>
      </c>
      <c r="E9" t="s">
        <v>68</v>
      </c>
      <c r="F9">
        <v>90</v>
      </c>
      <c r="G9">
        <v>0</v>
      </c>
    </row>
    <row r="10" spans="1:10">
      <c r="A10" t="s">
        <v>43</v>
      </c>
      <c r="B10" t="s">
        <v>65</v>
      </c>
      <c r="C10">
        <v>9769490893</v>
      </c>
      <c r="E10" t="s">
        <v>72</v>
      </c>
      <c r="F10">
        <v>90</v>
      </c>
      <c r="G10">
        <v>0</v>
      </c>
      <c r="I10" t="s">
        <v>76</v>
      </c>
      <c r="J10">
        <v>7034536857</v>
      </c>
    </row>
    <row r="11" spans="1:10">
      <c r="A11" t="s">
        <v>44</v>
      </c>
      <c r="B11" t="s">
        <v>66</v>
      </c>
      <c r="C11">
        <v>9892199776</v>
      </c>
      <c r="F11">
        <v>90</v>
      </c>
      <c r="G11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Lists!$A$2:$A$5</xm:f>
          </x14:formula1>
          <xm:sqref>F2:F200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D17" sqref="D17"/>
    </sheetView>
  </sheetViews>
  <sheetFormatPr baseColWidth="10" defaultColWidth="8.83203125" defaultRowHeight="14"/>
  <cols>
    <col min="1" max="1" width="12.1640625" customWidth="1"/>
    <col min="2" max="2" width="14.5" customWidth="1"/>
  </cols>
  <sheetData>
    <row r="1" spans="1:2" ht="32">
      <c r="A1" s="1" t="s">
        <v>51</v>
      </c>
      <c r="B1" s="1" t="s">
        <v>27</v>
      </c>
    </row>
    <row r="2" spans="1:2">
      <c r="A2">
        <v>30</v>
      </c>
      <c r="B2" t="s">
        <v>52</v>
      </c>
    </row>
    <row r="3" spans="1:2">
      <c r="A3">
        <v>60</v>
      </c>
      <c r="B3" t="s">
        <v>28</v>
      </c>
    </row>
    <row r="4" spans="1:2">
      <c r="A4">
        <v>90</v>
      </c>
      <c r="B4" t="s">
        <v>53</v>
      </c>
    </row>
    <row r="5" spans="1:2">
      <c r="A5">
        <v>120</v>
      </c>
      <c r="B5" t="s">
        <v>54</v>
      </c>
    </row>
    <row r="6" spans="1:2">
      <c r="B6" t="s">
        <v>55</v>
      </c>
    </row>
    <row r="7" spans="1:2">
      <c r="B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 Tracker</vt:lpstr>
      <vt:lpstr>Partial Payment Log</vt:lpstr>
      <vt:lpstr>Dashboard</vt:lpstr>
      <vt:lpstr>Supplier Master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JAMEEL MUGAL</cp:lastModifiedBy>
  <dcterms:modified xsi:type="dcterms:W3CDTF">2026-10-02T10:23:33Z</dcterms:modified>
</cp:coreProperties>
</file>